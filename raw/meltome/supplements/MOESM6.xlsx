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nternal_projects\active\Meltome\Paper draft\Nature_Methods_try\2nd_Revision\Manuscript\"/>
    </mc:Choice>
  </mc:AlternateContent>
  <bookViews>
    <workbookView xWindow="0" yWindow="0" windowWidth="18870" windowHeight="7815"/>
  </bookViews>
  <sheets>
    <sheet name="README" sheetId="4" r:id="rId1"/>
    <sheet name="Intact cells" sheetId="2" r:id="rId2"/>
    <sheet name="Permeabilized cells" sheetId="1" r:id="rId3"/>
    <sheet name="Calculation of residue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5" i="3"/>
  <c r="I25" i="2"/>
  <c r="D19" i="2"/>
  <c r="B20" i="3" s="1"/>
  <c r="D20" i="3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5" i="3"/>
  <c r="M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5" i="3"/>
  <c r="I23" i="2"/>
  <c r="I24" i="2"/>
  <c r="I26" i="2"/>
  <c r="I27" i="2"/>
  <c r="I28" i="2"/>
  <c r="I29" i="2"/>
  <c r="I30" i="2"/>
  <c r="I31" i="2"/>
  <c r="I32" i="2"/>
  <c r="I33" i="2"/>
  <c r="I34" i="2"/>
  <c r="I35" i="2"/>
  <c r="I36" i="2"/>
  <c r="I22" i="2"/>
  <c r="H22" i="2"/>
  <c r="J22" i="2"/>
  <c r="K22" i="2" s="1"/>
  <c r="H41" i="2"/>
  <c r="J41" i="2" s="1"/>
  <c r="J36" i="2"/>
  <c r="K36" i="2" s="1"/>
  <c r="D74" i="2"/>
  <c r="B75" i="3" s="1"/>
  <c r="M36" i="2" l="1"/>
  <c r="N36" i="2" s="1"/>
  <c r="M22" i="2"/>
  <c r="N22" i="2" s="1"/>
  <c r="M33" i="3"/>
  <c r="M25" i="3"/>
  <c r="E20" i="3"/>
  <c r="M45" i="3"/>
  <c r="N40" i="3"/>
  <c r="N24" i="3"/>
  <c r="N77" i="3"/>
  <c r="N69" i="3"/>
  <c r="N61" i="3"/>
  <c r="N53" i="3"/>
  <c r="N45" i="3"/>
  <c r="N37" i="3"/>
  <c r="N29" i="3"/>
  <c r="N21" i="3"/>
  <c r="N13" i="3"/>
  <c r="N76" i="3"/>
  <c r="N68" i="3"/>
  <c r="N60" i="3"/>
  <c r="N52" i="3"/>
  <c r="N44" i="3"/>
  <c r="N36" i="3"/>
  <c r="N28" i="3"/>
  <c r="N20" i="3"/>
  <c r="N12" i="3"/>
  <c r="N72" i="3"/>
  <c r="N48" i="3"/>
  <c r="N32" i="3"/>
  <c r="N75" i="3"/>
  <c r="N67" i="3"/>
  <c r="N59" i="3"/>
  <c r="N51" i="3"/>
  <c r="N43" i="3"/>
  <c r="N35" i="3"/>
  <c r="N27" i="3"/>
  <c r="N19" i="3"/>
  <c r="N11" i="3"/>
  <c r="N74" i="3"/>
  <c r="N66" i="3"/>
  <c r="N58" i="3"/>
  <c r="N50" i="3"/>
  <c r="N42" i="3"/>
  <c r="N34" i="3"/>
  <c r="N26" i="3"/>
  <c r="N18" i="3"/>
  <c r="N10" i="3"/>
  <c r="N73" i="3"/>
  <c r="N65" i="3"/>
  <c r="N57" i="3"/>
  <c r="N49" i="3"/>
  <c r="N41" i="3"/>
  <c r="N33" i="3"/>
  <c r="N25" i="3"/>
  <c r="N17" i="3"/>
  <c r="N9" i="3"/>
  <c r="N56" i="3"/>
  <c r="N8" i="3"/>
  <c r="N79" i="3"/>
  <c r="N71" i="3"/>
  <c r="N63" i="3"/>
  <c r="N55" i="3"/>
  <c r="N47" i="3"/>
  <c r="N39" i="3"/>
  <c r="N31" i="3"/>
  <c r="N23" i="3"/>
  <c r="N15" i="3"/>
  <c r="N7" i="3"/>
  <c r="N5" i="3"/>
  <c r="N64" i="3"/>
  <c r="N16" i="3"/>
  <c r="N78" i="3"/>
  <c r="N70" i="3"/>
  <c r="N62" i="3"/>
  <c r="N54" i="3"/>
  <c r="N46" i="3"/>
  <c r="N38" i="3"/>
  <c r="N30" i="3"/>
  <c r="N22" i="3"/>
  <c r="N14" i="3"/>
  <c r="N6" i="3"/>
  <c r="F75" i="3"/>
  <c r="F20" i="3"/>
  <c r="E75" i="3"/>
  <c r="H23" i="2" l="1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38" i="1"/>
  <c r="I52" i="1" l="1"/>
  <c r="I51" i="1"/>
  <c r="I50" i="1"/>
  <c r="I49" i="1"/>
  <c r="I48" i="1"/>
  <c r="I47" i="1"/>
  <c r="I46" i="1"/>
  <c r="I45" i="1"/>
  <c r="I44" i="1"/>
  <c r="I43" i="1"/>
  <c r="I42" i="1"/>
  <c r="J42" i="1" s="1"/>
  <c r="I41" i="1"/>
  <c r="J41" i="1" s="1"/>
  <c r="I40" i="1"/>
  <c r="I39" i="1"/>
  <c r="J39" i="1" s="1"/>
  <c r="I38" i="1"/>
  <c r="J38" i="1"/>
  <c r="J40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J35" i="2"/>
  <c r="K35" i="2" s="1"/>
  <c r="M35" i="2" s="1"/>
  <c r="N35" i="2" s="1"/>
  <c r="J34" i="2"/>
  <c r="K34" i="2" s="1"/>
  <c r="M34" i="2" s="1"/>
  <c r="N34" i="2" s="1"/>
  <c r="J33" i="2"/>
  <c r="K33" i="2" s="1"/>
  <c r="M33" i="2" s="1"/>
  <c r="N33" i="2" s="1"/>
  <c r="J32" i="2"/>
  <c r="K32" i="2" s="1"/>
  <c r="M32" i="2" s="1"/>
  <c r="N32" i="2" s="1"/>
  <c r="J31" i="2"/>
  <c r="K31" i="2" s="1"/>
  <c r="M31" i="2" s="1"/>
  <c r="N31" i="2" s="1"/>
  <c r="J30" i="2"/>
  <c r="K30" i="2" s="1"/>
  <c r="M30" i="2" s="1"/>
  <c r="N30" i="2" s="1"/>
  <c r="J27" i="2"/>
  <c r="K27" i="2" s="1"/>
  <c r="M27" i="2" s="1"/>
  <c r="N27" i="2" s="1"/>
  <c r="J29" i="2"/>
  <c r="K29" i="2" s="1"/>
  <c r="M29" i="2" s="1"/>
  <c r="N29" i="2" s="1"/>
  <c r="J28" i="2"/>
  <c r="K28" i="2" s="1"/>
  <c r="M28" i="2" s="1"/>
  <c r="N28" i="2" s="1"/>
  <c r="J26" i="2"/>
  <c r="K26" i="2" s="1"/>
  <c r="M26" i="2" s="1"/>
  <c r="N26" i="2" s="1"/>
  <c r="J25" i="2"/>
  <c r="K25" i="2" s="1"/>
  <c r="M25" i="2" s="1"/>
  <c r="N25" i="2" s="1"/>
  <c r="J24" i="2"/>
  <c r="K24" i="2" s="1"/>
  <c r="M24" i="2" s="1"/>
  <c r="N24" i="2" s="1"/>
  <c r="J23" i="2"/>
  <c r="K23" i="2" s="1"/>
  <c r="M23" i="2" s="1"/>
  <c r="N23" i="2" s="1"/>
  <c r="L22" i="2"/>
  <c r="L23" i="2"/>
  <c r="L24" i="2"/>
  <c r="L26" i="2"/>
  <c r="D37" i="2"/>
  <c r="B38" i="3" s="1"/>
  <c r="D38" i="2"/>
  <c r="B39" i="3" s="1"/>
  <c r="D39" i="2"/>
  <c r="B40" i="3" s="1"/>
  <c r="D40" i="2"/>
  <c r="B41" i="3" s="1"/>
  <c r="D41" i="2"/>
  <c r="B42" i="3" s="1"/>
  <c r="D42" i="2"/>
  <c r="B43" i="3" s="1"/>
  <c r="D43" i="2"/>
  <c r="B44" i="3" s="1"/>
  <c r="D44" i="2"/>
  <c r="B45" i="3" s="1"/>
  <c r="D45" i="2"/>
  <c r="B46" i="3" s="1"/>
  <c r="D46" i="2"/>
  <c r="B47" i="3" s="1"/>
  <c r="D47" i="2"/>
  <c r="B48" i="3" s="1"/>
  <c r="D48" i="2"/>
  <c r="B49" i="3" s="1"/>
  <c r="D49" i="2"/>
  <c r="B50" i="3" s="1"/>
  <c r="D50" i="2"/>
  <c r="B51" i="3" s="1"/>
  <c r="D51" i="2"/>
  <c r="B52" i="3" s="1"/>
  <c r="D52" i="2"/>
  <c r="B53" i="3" s="1"/>
  <c r="D53" i="2"/>
  <c r="B54" i="3" s="1"/>
  <c r="D54" i="2"/>
  <c r="B55" i="3" s="1"/>
  <c r="D55" i="2"/>
  <c r="B56" i="3" s="1"/>
  <c r="D56" i="2"/>
  <c r="B57" i="3" s="1"/>
  <c r="D57" i="2"/>
  <c r="B58" i="3" s="1"/>
  <c r="D58" i="2"/>
  <c r="B59" i="3" s="1"/>
  <c r="D59" i="2"/>
  <c r="B60" i="3" s="1"/>
  <c r="D60" i="2"/>
  <c r="B61" i="3" s="1"/>
  <c r="D61" i="2"/>
  <c r="B62" i="3" s="1"/>
  <c r="D62" i="2"/>
  <c r="B63" i="3" s="1"/>
  <c r="D63" i="2"/>
  <c r="B64" i="3" s="1"/>
  <c r="D64" i="2"/>
  <c r="B65" i="3" s="1"/>
  <c r="D65" i="2"/>
  <c r="B66" i="3" s="1"/>
  <c r="D66" i="2"/>
  <c r="B67" i="3" s="1"/>
  <c r="D67" i="2"/>
  <c r="B68" i="3" s="1"/>
  <c r="D68" i="2"/>
  <c r="B69" i="3" s="1"/>
  <c r="D69" i="2"/>
  <c r="B70" i="3" s="1"/>
  <c r="D70" i="2"/>
  <c r="B71" i="3" s="1"/>
  <c r="D71" i="2"/>
  <c r="B72" i="3" s="1"/>
  <c r="D72" i="2"/>
  <c r="B73" i="3" s="1"/>
  <c r="D73" i="2"/>
  <c r="B74" i="3" s="1"/>
  <c r="D75" i="2"/>
  <c r="B76" i="3" s="1"/>
  <c r="D76" i="2"/>
  <c r="B77" i="3" s="1"/>
  <c r="D77" i="2"/>
  <c r="B78" i="3" s="1"/>
  <c r="D78" i="2"/>
  <c r="B79" i="3" s="1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F76" i="3" l="1"/>
  <c r="E76" i="3"/>
  <c r="F67" i="3"/>
  <c r="E67" i="3"/>
  <c r="E51" i="3"/>
  <c r="F51" i="3"/>
  <c r="F74" i="3"/>
  <c r="E74" i="3"/>
  <c r="E58" i="3"/>
  <c r="F58" i="3"/>
  <c r="F73" i="3"/>
  <c r="E73" i="3"/>
  <c r="F57" i="3"/>
  <c r="E57" i="3"/>
  <c r="F41" i="3"/>
  <c r="E41" i="3"/>
  <c r="F72" i="3"/>
  <c r="E72" i="3"/>
  <c r="F64" i="3"/>
  <c r="E64" i="3"/>
  <c r="F56" i="3"/>
  <c r="E56" i="3"/>
  <c r="E48" i="3"/>
  <c r="F48" i="3"/>
  <c r="E40" i="3"/>
  <c r="F40" i="3"/>
  <c r="F59" i="3"/>
  <c r="E59" i="3"/>
  <c r="F43" i="3"/>
  <c r="E43" i="3"/>
  <c r="E66" i="3"/>
  <c r="F66" i="3"/>
  <c r="F50" i="3"/>
  <c r="E50" i="3"/>
  <c r="F42" i="3"/>
  <c r="E42" i="3"/>
  <c r="F65" i="3"/>
  <c r="E65" i="3"/>
  <c r="F49" i="3"/>
  <c r="E49" i="3"/>
  <c r="F71" i="3"/>
  <c r="E71" i="3"/>
  <c r="F63" i="3"/>
  <c r="E63" i="3"/>
  <c r="E55" i="3"/>
  <c r="F55" i="3"/>
  <c r="E47" i="3"/>
  <c r="F47" i="3"/>
  <c r="F39" i="3"/>
  <c r="E39" i="3"/>
  <c r="F79" i="3"/>
  <c r="E79" i="3"/>
  <c r="E46" i="3"/>
  <c r="F46" i="3"/>
  <c r="E70" i="3"/>
  <c r="F70" i="3"/>
  <c r="E62" i="3"/>
  <c r="F62" i="3"/>
  <c r="E54" i="3"/>
  <c r="F54" i="3"/>
  <c r="F38" i="3"/>
  <c r="E38" i="3"/>
  <c r="F78" i="3"/>
  <c r="E78" i="3"/>
  <c r="E69" i="3"/>
  <c r="F69" i="3"/>
  <c r="F61" i="3"/>
  <c r="E61" i="3"/>
  <c r="F53" i="3"/>
  <c r="E53" i="3"/>
  <c r="F45" i="3"/>
  <c r="E45" i="3"/>
  <c r="E77" i="3"/>
  <c r="F77" i="3"/>
  <c r="F68" i="3"/>
  <c r="E68" i="3"/>
  <c r="F60" i="3"/>
  <c r="E60" i="3"/>
  <c r="F52" i="3"/>
  <c r="E52" i="3"/>
  <c r="E44" i="3"/>
  <c r="F44" i="3"/>
  <c r="L25" i="2"/>
  <c r="E74" i="2"/>
  <c r="F74" i="2" s="1"/>
  <c r="L36" i="2" l="1"/>
  <c r="L34" i="2"/>
  <c r="L30" i="2"/>
  <c r="L28" i="2"/>
  <c r="L27" i="2"/>
  <c r="L32" i="2"/>
  <c r="J51" i="1"/>
  <c r="J47" i="1"/>
  <c r="J44" i="1"/>
  <c r="J48" i="1"/>
  <c r="J52" i="1"/>
  <c r="J43" i="1"/>
  <c r="J45" i="1" l="1"/>
  <c r="J49" i="1"/>
  <c r="J46" i="1"/>
  <c r="J50" i="1"/>
  <c r="L35" i="2"/>
  <c r="L33" i="2"/>
  <c r="L29" i="2"/>
  <c r="L31" i="2"/>
  <c r="D5" i="2" l="1"/>
  <c r="B6" i="3" s="1"/>
  <c r="D6" i="2"/>
  <c r="B7" i="3" s="1"/>
  <c r="D7" i="2"/>
  <c r="B8" i="3" s="1"/>
  <c r="D8" i="2"/>
  <c r="B9" i="3" s="1"/>
  <c r="D9" i="2"/>
  <c r="B10" i="3" s="1"/>
  <c r="D10" i="2"/>
  <c r="B11" i="3" s="1"/>
  <c r="D11" i="2"/>
  <c r="B12" i="3" s="1"/>
  <c r="D12" i="2"/>
  <c r="B13" i="3" s="1"/>
  <c r="D13" i="2"/>
  <c r="B14" i="3" s="1"/>
  <c r="D14" i="2"/>
  <c r="B15" i="3" s="1"/>
  <c r="D15" i="2"/>
  <c r="B16" i="3" s="1"/>
  <c r="D16" i="2"/>
  <c r="B17" i="3" s="1"/>
  <c r="D17" i="2"/>
  <c r="B18" i="3" s="1"/>
  <c r="D18" i="2"/>
  <c r="B19" i="3" s="1"/>
  <c r="D20" i="2"/>
  <c r="B21" i="3" s="1"/>
  <c r="D21" i="2"/>
  <c r="B22" i="3" s="1"/>
  <c r="D22" i="2"/>
  <c r="B23" i="3" s="1"/>
  <c r="D23" i="2"/>
  <c r="B24" i="3" s="1"/>
  <c r="D24" i="2"/>
  <c r="B25" i="3" s="1"/>
  <c r="D25" i="2"/>
  <c r="B26" i="3" s="1"/>
  <c r="D26" i="2"/>
  <c r="B27" i="3" s="1"/>
  <c r="D27" i="2"/>
  <c r="B28" i="3" s="1"/>
  <c r="D28" i="2"/>
  <c r="B29" i="3" s="1"/>
  <c r="D29" i="2"/>
  <c r="B30" i="3" s="1"/>
  <c r="D30" i="2"/>
  <c r="B31" i="3" s="1"/>
  <c r="D31" i="2"/>
  <c r="B32" i="3" s="1"/>
  <c r="D32" i="2"/>
  <c r="B33" i="3" s="1"/>
  <c r="D33" i="2"/>
  <c r="B34" i="3" s="1"/>
  <c r="D34" i="2"/>
  <c r="B35" i="3" s="1"/>
  <c r="D35" i="2"/>
  <c r="B36" i="3" s="1"/>
  <c r="D36" i="2"/>
  <c r="B37" i="3" s="1"/>
  <c r="D4" i="2"/>
  <c r="B5" i="3" s="1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30" i="3" l="1"/>
  <c r="E30" i="3"/>
  <c r="F22" i="3"/>
  <c r="E22" i="3"/>
  <c r="E13" i="3"/>
  <c r="F13" i="3"/>
  <c r="E37" i="3"/>
  <c r="F37" i="3"/>
  <c r="F29" i="3"/>
  <c r="E29" i="3"/>
  <c r="F21" i="3"/>
  <c r="E21" i="3"/>
  <c r="E12" i="3"/>
  <c r="F12" i="3"/>
  <c r="F19" i="3"/>
  <c r="E19" i="3"/>
  <c r="E35" i="3"/>
  <c r="F35" i="3"/>
  <c r="E27" i="3"/>
  <c r="F27" i="3"/>
  <c r="E18" i="3"/>
  <c r="F18" i="3"/>
  <c r="E10" i="3"/>
  <c r="F10" i="3"/>
  <c r="F26" i="3"/>
  <c r="E26" i="3"/>
  <c r="F17" i="3"/>
  <c r="E17" i="3"/>
  <c r="F9" i="3"/>
  <c r="E9" i="3"/>
  <c r="E28" i="3"/>
  <c r="F28" i="3"/>
  <c r="F33" i="3"/>
  <c r="E33" i="3"/>
  <c r="F25" i="3"/>
  <c r="E25" i="3"/>
  <c r="F16" i="3"/>
  <c r="E16" i="3"/>
  <c r="F8" i="3"/>
  <c r="E8" i="3"/>
  <c r="F5" i="3"/>
  <c r="E5" i="3"/>
  <c r="F36" i="3"/>
  <c r="E36" i="3"/>
  <c r="F11" i="3"/>
  <c r="E11" i="3"/>
  <c r="E34" i="3"/>
  <c r="F34" i="3"/>
  <c r="F32" i="3"/>
  <c r="E32" i="3"/>
  <c r="F24" i="3"/>
  <c r="E24" i="3"/>
  <c r="F15" i="3"/>
  <c r="E15" i="3"/>
  <c r="E7" i="3"/>
  <c r="F7" i="3"/>
  <c r="E31" i="3"/>
  <c r="F31" i="3"/>
  <c r="F23" i="3"/>
  <c r="E23" i="3"/>
  <c r="E14" i="3"/>
  <c r="F14" i="3"/>
  <c r="E6" i="3"/>
  <c r="F6" i="3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4" i="1"/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4" i="1"/>
</calcChain>
</file>

<file path=xl/sharedStrings.xml><?xml version="1.0" encoding="utf-8"?>
<sst xmlns="http://schemas.openxmlformats.org/spreadsheetml/2006/main" count="41" uniqueCount="27">
  <si>
    <t>1000/K</t>
  </si>
  <si>
    <t>ln(max resp)</t>
  </si>
  <si>
    <t>Temperatur</t>
  </si>
  <si>
    <t>predicted</t>
  </si>
  <si>
    <t>residue</t>
  </si>
  <si>
    <t>max respiration</t>
  </si>
  <si>
    <t>ln (predicted)</t>
  </si>
  <si>
    <t>ln(max resp intact)</t>
  </si>
  <si>
    <t>max resp permeabilized</t>
  </si>
  <si>
    <t>ln(predicted)</t>
  </si>
  <si>
    <t>EXP(predicted)</t>
  </si>
  <si>
    <t>mean measured</t>
  </si>
  <si>
    <t>ln(mean measured)</t>
  </si>
  <si>
    <t>Temperature [°C]</t>
  </si>
  <si>
    <t>ln(max respiration)</t>
  </si>
  <si>
    <t>Residue</t>
  </si>
  <si>
    <t>Measurements on intact cells</t>
  </si>
  <si>
    <t>Measurements on permeabilized cells</t>
  </si>
  <si>
    <t>Intact cells</t>
  </si>
  <si>
    <t>Permeabilized cells</t>
  </si>
  <si>
    <t>predicted -measured</t>
  </si>
  <si>
    <t>predicted - measured</t>
  </si>
  <si>
    <t>measured-predicted</t>
  </si>
  <si>
    <t>Calculation of residues</t>
  </si>
  <si>
    <t>Supplementary Table S4</t>
  </si>
  <si>
    <t>This table contains results of respiration analysis using intact (glycolysis dependent) and permeabilized (glycolysis-independent) HEK293 cell line.</t>
  </si>
  <si>
    <t>In the last tab we presented calculation of residues used for further respiration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</si>
</sst>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00000E+00"/>
    <numFmt numFmtId="167" formatCode="0.0000000E+00"/>
    <numFmt numFmtId="168" formatCode="0.000000"/>
    <numFmt numFmtId="169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Fill="1"/>
    <xf numFmtId="164" fontId="0" fillId="0" borderId="0" xfId="0" applyNumberFormat="1" applyFill="1"/>
    <xf numFmtId="169" fontId="0" fillId="0" borderId="0" xfId="0" applyNumberFormat="1" applyFill="1"/>
    <xf numFmtId="168" fontId="0" fillId="0" borderId="0" xfId="0" applyNumberFormat="1" applyFill="1"/>
    <xf numFmtId="2" fontId="0" fillId="0" borderId="0" xfId="0" applyNumberFormat="1" applyFill="1"/>
    <xf numFmtId="11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0" fontId="3" fillId="0" borderId="0" xfId="0" applyFont="1"/>
    <xf numFmtId="2" fontId="0" fillId="0" borderId="0" xfId="0" applyNumberFormat="1"/>
    <xf numFmtId="0" fontId="4" fillId="0" borderId="0" xfId="0" applyFont="1" applyFill="1"/>
    <xf numFmtId="0" fontId="5" fillId="0" borderId="0" xfId="0" applyFont="1"/>
    <xf numFmtId="0" fontId="1" fillId="0" borderId="0" xfId="0" applyFont="1" applyFill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4" fillId="3" borderId="0" xfId="0" applyFont="1" applyFill="1"/>
    <xf numFmtId="16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2"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ln(max</a:t>
            </a:r>
            <a:r>
              <a:rPr lang="en-US" baseline="0"/>
              <a:t> resp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51559022206863647"/>
          <c:y val="5.3156146179401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15102971062786"/>
          <c:y val="0.16429678848283502"/>
          <c:w val="0.77289824665333762"/>
          <c:h val="0.732942335696410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9552077933831936"/>
                  <c:y val="-0.43810709707798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'Intact cells'!$B$4:$B$38</c:f>
              <c:numCache>
                <c:formatCode>0.00</c:formatCode>
                <c:ptCount val="35"/>
                <c:pt idx="0">
                  <c:v>3.3096144299189145</c:v>
                </c:pt>
                <c:pt idx="1">
                  <c:v>3.3096144299189145</c:v>
                </c:pt>
                <c:pt idx="2">
                  <c:v>3.3096144299189145</c:v>
                </c:pt>
                <c:pt idx="3">
                  <c:v>3.3096144299189145</c:v>
                </c:pt>
                <c:pt idx="4">
                  <c:v>3.3096144299189145</c:v>
                </c:pt>
                <c:pt idx="5">
                  <c:v>3.2878513891172121</c:v>
                </c:pt>
                <c:pt idx="6">
                  <c:v>3.2878513891172121</c:v>
                </c:pt>
                <c:pt idx="7">
                  <c:v>3.2878513891172121</c:v>
                </c:pt>
                <c:pt idx="8">
                  <c:v>3.2878513891172121</c:v>
                </c:pt>
                <c:pt idx="9">
                  <c:v>3.2878513891172121</c:v>
                </c:pt>
                <c:pt idx="10">
                  <c:v>3.2663726931242856</c:v>
                </c:pt>
                <c:pt idx="11">
                  <c:v>3.2663726931242856</c:v>
                </c:pt>
                <c:pt idx="12">
                  <c:v>3.2663726931242856</c:v>
                </c:pt>
                <c:pt idx="13">
                  <c:v>3.2663726931242856</c:v>
                </c:pt>
                <c:pt idx="14">
                  <c:v>3.2663726931242856</c:v>
                </c:pt>
                <c:pt idx="15">
                  <c:v>3.2451728054518907</c:v>
                </c:pt>
                <c:pt idx="16">
                  <c:v>3.2451728054518907</c:v>
                </c:pt>
                <c:pt idx="17">
                  <c:v>3.2451728054518907</c:v>
                </c:pt>
                <c:pt idx="18">
                  <c:v>3.2451728054518907</c:v>
                </c:pt>
                <c:pt idx="19">
                  <c:v>3.2451728054518907</c:v>
                </c:pt>
                <c:pt idx="20">
                  <c:v>3.224246332419797</c:v>
                </c:pt>
                <c:pt idx="21">
                  <c:v>3.224246332419797</c:v>
                </c:pt>
                <c:pt idx="22">
                  <c:v>3.224246332419797</c:v>
                </c:pt>
                <c:pt idx="23">
                  <c:v>3.224246332419797</c:v>
                </c:pt>
                <c:pt idx="24">
                  <c:v>3.224246332419797</c:v>
                </c:pt>
                <c:pt idx="25">
                  <c:v>3.213883978788366</c:v>
                </c:pt>
                <c:pt idx="26">
                  <c:v>3.213883978788366</c:v>
                </c:pt>
                <c:pt idx="27">
                  <c:v>3.213883978788366</c:v>
                </c:pt>
                <c:pt idx="28">
                  <c:v>3.213883978788366</c:v>
                </c:pt>
                <c:pt idx="29">
                  <c:v>3.213883978788366</c:v>
                </c:pt>
                <c:pt idx="30">
                  <c:v>3.2035880185808105</c:v>
                </c:pt>
                <c:pt idx="31">
                  <c:v>3.2035880185808105</c:v>
                </c:pt>
                <c:pt idx="32">
                  <c:v>3.2035880185808105</c:v>
                </c:pt>
                <c:pt idx="33">
                  <c:v>3.2035880185808105</c:v>
                </c:pt>
                <c:pt idx="34">
                  <c:v>3.2035880185808105</c:v>
                </c:pt>
              </c:numCache>
            </c:numRef>
          </c:xVal>
          <c:yVal>
            <c:numRef>
              <c:f>'Intact cells'!$D$4:$D$38</c:f>
              <c:numCache>
                <c:formatCode>0.000</c:formatCode>
                <c:ptCount val="35"/>
                <c:pt idx="0">
                  <c:v>2.7775638258625248</c:v>
                </c:pt>
                <c:pt idx="1">
                  <c:v>2.5873353719361543</c:v>
                </c:pt>
                <c:pt idx="2">
                  <c:v>2.5934471040774514</c:v>
                </c:pt>
                <c:pt idx="3">
                  <c:v>2.8850073953970141</c:v>
                </c:pt>
                <c:pt idx="4">
                  <c:v>2.9657317237563605</c:v>
                </c:pt>
                <c:pt idx="5">
                  <c:v>2.7121219004722636</c:v>
                </c:pt>
                <c:pt idx="6">
                  <c:v>2.7376543097607691</c:v>
                </c:pt>
                <c:pt idx="7">
                  <c:v>2.7530809264765135</c:v>
                </c:pt>
                <c:pt idx="8">
                  <c:v>2.765211577900732</c:v>
                </c:pt>
                <c:pt idx="9">
                  <c:v>3.051507509021405</c:v>
                </c:pt>
                <c:pt idx="10">
                  <c:v>3.0091222266727504</c:v>
                </c:pt>
                <c:pt idx="11">
                  <c:v>2.8550784335563693</c:v>
                </c:pt>
                <c:pt idx="12">
                  <c:v>2.4943535536130108</c:v>
                </c:pt>
                <c:pt idx="13">
                  <c:v>3.1321800344395299</c:v>
                </c:pt>
                <c:pt idx="14">
                  <c:v>3.1728193208428221</c:v>
                </c:pt>
                <c:pt idx="15">
                  <c:v>3.347638364567592</c:v>
                </c:pt>
                <c:pt idx="16">
                  <c:v>3.2035550590096342</c:v>
                </c:pt>
                <c:pt idx="17">
                  <c:v>3.2213766950837655</c:v>
                </c:pt>
                <c:pt idx="18">
                  <c:v>3.8041170306140164</c:v>
                </c:pt>
                <c:pt idx="19">
                  <c:v>3.1773786024328778</c:v>
                </c:pt>
                <c:pt idx="20">
                  <c:v>3.2048985969373414</c:v>
                </c:pt>
                <c:pt idx="21">
                  <c:v>3.4890739398301447</c:v>
                </c:pt>
                <c:pt idx="22">
                  <c:v>3.9979547998781979</c:v>
                </c:pt>
                <c:pt idx="23">
                  <c:v>3.4182019804779791</c:v>
                </c:pt>
                <c:pt idx="24">
                  <c:v>3.8262385118727846</c:v>
                </c:pt>
                <c:pt idx="25">
                  <c:v>3.0316687533582964</c:v>
                </c:pt>
                <c:pt idx="26">
                  <c:v>3.0477932731804493</c:v>
                </c:pt>
                <c:pt idx="27">
                  <c:v>2.9737371444814116</c:v>
                </c:pt>
                <c:pt idx="28">
                  <c:v>2.9384685600525806</c:v>
                </c:pt>
                <c:pt idx="29">
                  <c:v>3.1116201812559172</c:v>
                </c:pt>
                <c:pt idx="30">
                  <c:v>3.2063213461634765</c:v>
                </c:pt>
                <c:pt idx="31">
                  <c:v>2.9439125248241944</c:v>
                </c:pt>
                <c:pt idx="32">
                  <c:v>2.9926274586005124</c:v>
                </c:pt>
                <c:pt idx="33">
                  <c:v>2.7616983872210974</c:v>
                </c:pt>
                <c:pt idx="34">
                  <c:v>3.109355558319455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04-4D68-9B76-7E08A0E4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412848"/>
        <c:axId val="360412288"/>
      </c:scatterChart>
      <c:valAx>
        <c:axId val="36041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12288"/>
        <c:crosses val="autoZero"/>
        <c:crossBetween val="midCat"/>
      </c:valAx>
      <c:valAx>
        <c:axId val="36041228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1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vs. measured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'Intact cells'!$H$21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'Intact cells'!$H$22:$H$36</c:f>
              <c:numCache>
                <c:formatCode>0.000</c:formatCode>
                <c:ptCount val="15"/>
                <c:pt idx="0">
                  <c:v>16.600633223717956</c:v>
                </c:pt>
                <c:pt idx="1">
                  <c:v>18.231093218403839</c:v>
                </c:pt>
                <c:pt idx="2">
                  <c:v>19.997198592520842</c:v>
                </c:pt>
                <c:pt idx="3">
                  <c:v>21.908081561197012</c:v>
                </c:pt>
                <c:pt idx="4">
                  <c:v>23.973330026709927</c:v>
                </c:pt>
                <c:pt idx="5">
                  <c:v>25.489612086240964</c:v>
                </c:pt>
                <c:pt idx="6">
                  <c:v>26.610875882841498</c:v>
                </c:pt>
                <c:pt idx="7">
                  <c:v>27.781463007600809</c:v>
                </c:pt>
                <c:pt idx="8">
                  <c:v>29.003543146820963</c:v>
                </c:pt>
                <c:pt idx="9">
                  <c:v>30.279381429241411</c:v>
                </c:pt>
                <c:pt idx="10">
                  <c:v>31.611342624460811</c:v>
                </c:pt>
                <c:pt idx="11">
                  <c:v>33.001895526043704</c:v>
                </c:pt>
                <c:pt idx="12">
                  <c:v>34.45361752743586</c:v>
                </c:pt>
                <c:pt idx="13">
                  <c:v>35.969199399169796</c:v>
                </c:pt>
                <c:pt idx="14">
                  <c:v>37.551450276214986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E0-404F-B913-15C1E6C115A3}"/>
            </c:ext>
          </c:extLst>
        </c:ser>
        <c:ser>
          <c:idx val="1"/>
          <c:order val="1"/>
          <c:tx>
            <c:strRef>
              <c:f>'Intact cells'!$J$21</c:f>
              <c:strCache>
                <c:ptCount val="1"/>
                <c:pt idx="0">
                  <c:v>mean measured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'Intact cells'!$J$22:$J$36</c:f>
              <c:numCache>
                <c:formatCode>0.000</c:formatCode>
                <c:ptCount val="15"/>
                <c:pt idx="0">
                  <c:v>16.012499999999999</c:v>
                </c:pt>
                <c:pt idx="1">
                  <c:v>16.64648</c:v>
                </c:pt>
                <c:pt idx="2">
                  <c:v>19.311579999999999</c:v>
                </c:pt>
                <c:pt idx="3">
                  <c:v>29.397480000000002</c:v>
                </c:pt>
                <c:pt idx="4">
                  <c:v>37.659860000000002</c:v>
                </c:pt>
                <c:pt idx="5">
                  <c:v>20.54196</c:v>
                </c:pt>
                <c:pt idx="6">
                  <c:v>20.369880000000002</c:v>
                </c:pt>
                <c:pt idx="7">
                  <c:v>23.363160000000001</c:v>
                </c:pt>
                <c:pt idx="8">
                  <c:v>26.638199999999994</c:v>
                </c:pt>
                <c:pt idx="9">
                  <c:v>27.668320000000001</c:v>
                </c:pt>
                <c:pt idx="10">
                  <c:v>25.656979999999997</c:v>
                </c:pt>
                <c:pt idx="11">
                  <c:v>24.173340000000003</c:v>
                </c:pt>
                <c:pt idx="12">
                  <c:v>22.728739999999998</c:v>
                </c:pt>
                <c:pt idx="13">
                  <c:v>9.8321400000000008</c:v>
                </c:pt>
                <c:pt idx="14">
                  <c:v>4.7708000000000004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E0-404F-B913-15C1E6C11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616416"/>
        <c:axId val="361620336"/>
      </c:barChart>
      <c:catAx>
        <c:axId val="3616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20336"/>
        <c:crosses val="autoZero"/>
        <c:auto val="1"/>
        <c:lblAlgn val="ctr"/>
        <c:lblOffset val="100"/>
        <c:noMultiLvlLbl val="0"/>
      </c:catAx>
      <c:valAx>
        <c:axId val="361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80336832895888"/>
          <c:y val="5.0925925925925923E-2"/>
          <c:w val="0.83830774278215225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'Intact cells'!$F$22:$F$36</c:f>
              <c:numCache>
                <c:formatCode>General</c:formatCode>
                <c:ptCount val="15"/>
                <c:pt idx="0">
                  <c:v>29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</c:numCache>
            </c:numRef>
          </c:cat>
          <c:val>
            <c:numRef>
              <c:f>'Intact cells'!$M$22:$M$36</c:f>
              <c:numCache>
                <c:formatCode>0.000</c:formatCode>
                <c:ptCount val="15"/>
                <c:pt idx="0">
                  <c:v>3.607117341921029E-2</c:v>
                </c:pt>
                <c:pt idx="1">
                  <c:v>9.092977232481303E-2</c:v>
                </c:pt>
                <c:pt idx="2">
                  <c:v>3.4887277386454585E-2</c:v>
                </c:pt>
                <c:pt idx="3">
                  <c:v>-0.29405336657508796</c:v>
                </c:pt>
                <c:pt idx="4">
                  <c:v>-0.45165284218396184</c:v>
                </c:pt>
                <c:pt idx="5">
                  <c:v>0.21580137648834796</c:v>
                </c:pt>
                <c:pt idx="6">
                  <c:v>0.2672626607948354</c:v>
                </c:pt>
                <c:pt idx="7">
                  <c:v>0.17320857721606853</c:v>
                </c:pt>
                <c:pt idx="8">
                  <c:v>8.5071724178169106E-2</c:v>
                </c:pt>
                <c:pt idx="9">
                  <c:v>9.0178923620865881E-2</c:v>
                </c:pt>
                <c:pt idx="10">
                  <c:v>0.20870034064611076</c:v>
                </c:pt>
                <c:pt idx="11">
                  <c:v>0.31131462699550561</c:v>
                </c:pt>
                <c:pt idx="12">
                  <c:v>0.41598379702002974</c:v>
                </c:pt>
                <c:pt idx="13">
                  <c:v>1.2970063886187644</c:v>
                </c:pt>
                <c:pt idx="14">
                  <c:v>2.0631979942776213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C4-4340-AF0D-4DB5F602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627616"/>
        <c:axId val="361617536"/>
      </c:barChart>
      <c:catAx>
        <c:axId val="36162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17536"/>
        <c:crosses val="autoZero"/>
        <c:auto val="1"/>
        <c:lblAlgn val="ctr"/>
        <c:lblOffset val="100"/>
        <c:noMultiLvlLbl val="0"/>
      </c:catAx>
      <c:valAx>
        <c:axId val="3616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2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ln(max</a:t>
            </a:r>
            <a:r>
              <a:rPr lang="en-US" baseline="0"/>
              <a:t> respiration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6.4179563761426389E-2"/>
          <c:y val="4.8726467331118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3265865277818E-2"/>
          <c:y val="0.16429678848283502"/>
          <c:w val="0.81101736891039089"/>
          <c:h val="0.732942335696410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657000736097791E-2"/>
                  <c:y val="-0.41514903364352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'Permeabilized cells'!$B$4:$B$38</c:f>
              <c:numCache>
                <c:formatCode>0.00</c:formatCode>
                <c:ptCount val="35"/>
                <c:pt idx="0">
                  <c:v>3.3096144299189145</c:v>
                </c:pt>
                <c:pt idx="1">
                  <c:v>3.3096144299189145</c:v>
                </c:pt>
                <c:pt idx="2">
                  <c:v>3.3096144299189145</c:v>
                </c:pt>
                <c:pt idx="3">
                  <c:v>3.3096144299189145</c:v>
                </c:pt>
                <c:pt idx="4">
                  <c:v>3.3096144299189145</c:v>
                </c:pt>
                <c:pt idx="5">
                  <c:v>3.2878513891172121</c:v>
                </c:pt>
                <c:pt idx="6">
                  <c:v>3.2878513891172121</c:v>
                </c:pt>
                <c:pt idx="7">
                  <c:v>3.2878513891172121</c:v>
                </c:pt>
                <c:pt idx="8">
                  <c:v>3.2878513891172121</c:v>
                </c:pt>
                <c:pt idx="9">
                  <c:v>3.2878513891172121</c:v>
                </c:pt>
                <c:pt idx="10">
                  <c:v>3.2663726931242856</c:v>
                </c:pt>
                <c:pt idx="11">
                  <c:v>3.2663726931242856</c:v>
                </c:pt>
                <c:pt idx="12">
                  <c:v>3.2663726931242856</c:v>
                </c:pt>
                <c:pt idx="13">
                  <c:v>3.2663726931242856</c:v>
                </c:pt>
                <c:pt idx="14">
                  <c:v>3.2663726931242856</c:v>
                </c:pt>
                <c:pt idx="15">
                  <c:v>3.2451728054518907</c:v>
                </c:pt>
                <c:pt idx="16">
                  <c:v>3.2451728054518907</c:v>
                </c:pt>
                <c:pt idx="17">
                  <c:v>3.2451728054518907</c:v>
                </c:pt>
                <c:pt idx="18">
                  <c:v>3.2451728054518907</c:v>
                </c:pt>
                <c:pt idx="19">
                  <c:v>3.2451728054518907</c:v>
                </c:pt>
                <c:pt idx="20">
                  <c:v>3.224246332419797</c:v>
                </c:pt>
                <c:pt idx="21">
                  <c:v>3.224246332419797</c:v>
                </c:pt>
                <c:pt idx="22">
                  <c:v>3.224246332419797</c:v>
                </c:pt>
                <c:pt idx="23">
                  <c:v>3.224246332419797</c:v>
                </c:pt>
                <c:pt idx="24">
                  <c:v>3.224246332419797</c:v>
                </c:pt>
                <c:pt idx="25">
                  <c:v>3.213883978788366</c:v>
                </c:pt>
                <c:pt idx="26">
                  <c:v>3.213883978788366</c:v>
                </c:pt>
                <c:pt idx="27">
                  <c:v>3.213883978788366</c:v>
                </c:pt>
                <c:pt idx="28">
                  <c:v>3.213883978788366</c:v>
                </c:pt>
                <c:pt idx="29">
                  <c:v>3.213883978788366</c:v>
                </c:pt>
                <c:pt idx="30">
                  <c:v>3.2035880185808105</c:v>
                </c:pt>
                <c:pt idx="31">
                  <c:v>3.2035880185808105</c:v>
                </c:pt>
                <c:pt idx="32">
                  <c:v>3.2035880185808105</c:v>
                </c:pt>
                <c:pt idx="33">
                  <c:v>3.2035880185808105</c:v>
                </c:pt>
                <c:pt idx="34">
                  <c:v>3.2035880185808105</c:v>
                </c:pt>
              </c:numCache>
            </c:numRef>
          </c:xVal>
          <c:yVal>
            <c:numRef>
              <c:f>'Permeabilized cells'!$D$4:$D$38</c:f>
              <c:numCache>
                <c:formatCode>General</c:formatCode>
                <c:ptCount val="35"/>
                <c:pt idx="0">
                  <c:v>3.2803772386607735</c:v>
                </c:pt>
                <c:pt idx="1">
                  <c:v>3.1803387180028881</c:v>
                </c:pt>
                <c:pt idx="2">
                  <c:v>3.2944655558177871</c:v>
                </c:pt>
                <c:pt idx="3">
                  <c:v>3.5065208966354646</c:v>
                </c:pt>
                <c:pt idx="4">
                  <c:v>3.5583036893150464</c:v>
                </c:pt>
                <c:pt idx="5">
                  <c:v>3.4355569395480892</c:v>
                </c:pt>
                <c:pt idx="6">
                  <c:v>3.2027383128239673</c:v>
                </c:pt>
                <c:pt idx="7">
                  <c:v>3.1704835815177774</c:v>
                </c:pt>
                <c:pt idx="8">
                  <c:v>3.2802606282616269</c:v>
                </c:pt>
                <c:pt idx="9">
                  <c:v>3.6764247148463443</c:v>
                </c:pt>
                <c:pt idx="10">
                  <c:v>3.6672880278704603</c:v>
                </c:pt>
                <c:pt idx="11">
                  <c:v>3.5020889263280059</c:v>
                </c:pt>
                <c:pt idx="12">
                  <c:v>2.7901891716191742</c:v>
                </c:pt>
                <c:pt idx="13">
                  <c:v>3.0180562294321098</c:v>
                </c:pt>
                <c:pt idx="14">
                  <c:v>3.705084933148362</c:v>
                </c:pt>
                <c:pt idx="15">
                  <c:v>3.8785613569808501</c:v>
                </c:pt>
                <c:pt idx="16">
                  <c:v>3.4714072900369586</c:v>
                </c:pt>
                <c:pt idx="17">
                  <c:v>3.7059577856486876</c:v>
                </c:pt>
                <c:pt idx="18">
                  <c:v>4.1970816396732129</c:v>
                </c:pt>
                <c:pt idx="19">
                  <c:v>3.1783329580548489</c:v>
                </c:pt>
                <c:pt idx="20">
                  <c:v>3.8367109240103607</c:v>
                </c:pt>
                <c:pt idx="21">
                  <c:v>4.0712516277974178</c:v>
                </c:pt>
                <c:pt idx="22">
                  <c:v>4.2822394480135202</c:v>
                </c:pt>
                <c:pt idx="23">
                  <c:v>3.844694462463512</c:v>
                </c:pt>
                <c:pt idx="24">
                  <c:v>4.0954889072095462</c:v>
                </c:pt>
                <c:pt idx="25">
                  <c:v>3.6545493623522054</c:v>
                </c:pt>
                <c:pt idx="26">
                  <c:v>3.6429690145545526</c:v>
                </c:pt>
                <c:pt idx="27">
                  <c:v>3.4713078506265522</c:v>
                </c:pt>
                <c:pt idx="28">
                  <c:v>3.1224882648982368</c:v>
                </c:pt>
                <c:pt idx="29">
                  <c:v>2.8199969796347721</c:v>
                </c:pt>
                <c:pt idx="30">
                  <c:v>4.0821201475993778</c:v>
                </c:pt>
                <c:pt idx="31">
                  <c:v>3.3181888915114279</c:v>
                </c:pt>
                <c:pt idx="32">
                  <c:v>3.2228319889211705</c:v>
                </c:pt>
                <c:pt idx="33">
                  <c:v>2.674093475490682</c:v>
                </c:pt>
                <c:pt idx="34">
                  <c:v>3.2306067477438996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75-4143-BE29-E6DA04F83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138368"/>
        <c:axId val="363152928"/>
      </c:scatterChart>
      <c:valAx>
        <c:axId val="36313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52928"/>
        <c:crosses val="autoZero"/>
        <c:crossBetween val="midCat"/>
      </c:valAx>
      <c:valAx>
        <c:axId val="3631529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3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'Permeabilized cells'!$F$38:$F$52</c:f>
              <c:numCache>
                <c:formatCode>General</c:formatCode>
                <c:ptCount val="15"/>
                <c:pt idx="0">
                  <c:v>29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</c:numCache>
            </c:numRef>
          </c:cat>
          <c:val>
            <c:numRef>
              <c:f>'Permeabilized cells'!$J$38:$J$52</c:f>
              <c:numCache>
                <c:formatCode>0.000</c:formatCode>
                <c:ptCount val="15"/>
                <c:pt idx="0">
                  <c:v>0.34055738715457906</c:v>
                </c:pt>
                <c:pt idx="1">
                  <c:v>1.5569732708238568</c:v>
                </c:pt>
                <c:pt idx="2">
                  <c:v>1.870625767500421</c:v>
                </c:pt>
                <c:pt idx="3">
                  <c:v>-9.3566999724256377</c:v>
                </c:pt>
                <c:pt idx="4">
                  <c:v>-22.654566243624728</c:v>
                </c:pt>
                <c:pt idx="5">
                  <c:v>5.3289321515145716</c:v>
                </c:pt>
                <c:pt idx="6">
                  <c:v>5.280496897948705</c:v>
                </c:pt>
                <c:pt idx="7">
                  <c:v>2.7920074301979838</c:v>
                </c:pt>
                <c:pt idx="8">
                  <c:v>3.0079230902643772</c:v>
                </c:pt>
                <c:pt idx="9">
                  <c:v>-0.59187368892009573</c:v>
                </c:pt>
                <c:pt idx="10">
                  <c:v>-0.20749733022201156</c:v>
                </c:pt>
                <c:pt idx="11">
                  <c:v>6.082920941883323</c:v>
                </c:pt>
                <c:pt idx="12">
                  <c:v>-0.68586684356441197</c:v>
                </c:pt>
                <c:pt idx="13">
                  <c:v>10.112314652063464</c:v>
                </c:pt>
                <c:pt idx="14">
                  <c:v>27.869464134024483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9AF-4658-B57D-518647B76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350208"/>
        <c:axId val="250344608"/>
      </c:barChart>
      <c:catAx>
        <c:axId val="2503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44608"/>
        <c:crosses val="autoZero"/>
        <c:auto val="1"/>
        <c:lblAlgn val="ctr"/>
        <c:lblOffset val="100"/>
        <c:noMultiLvlLbl val="0"/>
      </c:catAx>
      <c:valAx>
        <c:axId val="2503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5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 measured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predicted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'Permeabilized cells'!$F$38:$F$52</c:f>
              <c:numCache>
                <c:formatCode>General</c:formatCode>
                <c:ptCount val="15"/>
                <c:pt idx="0">
                  <c:v>29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</c:numCache>
            </c:numRef>
          </c:cat>
          <c:val>
            <c:numRef>
              <c:f>'Permeabilized cells'!$H$38:$H$52</c:f>
              <c:numCache>
                <c:formatCode>0.000</c:formatCode>
                <c:ptCount val="15"/>
                <c:pt idx="0">
                  <c:v>29.548437387154578</c:v>
                </c:pt>
                <c:pt idx="1">
                  <c:v>30.66799327082386</c:v>
                </c:pt>
                <c:pt idx="2">
                  <c:v>31.814505767500417</c:v>
                </c:pt>
                <c:pt idx="3">
                  <c:v>32.988160027574359</c:v>
                </c:pt>
                <c:pt idx="4">
                  <c:v>34.189133756375263</c:v>
                </c:pt>
                <c:pt idx="5">
                  <c:v>35.031652151514571</c:v>
                </c:pt>
                <c:pt idx="6">
                  <c:v>35.635416897948708</c:v>
                </c:pt>
                <c:pt idx="7">
                  <c:v>36.249587430197984</c:v>
                </c:pt>
                <c:pt idx="8">
                  <c:v>36.874343090264375</c:v>
                </c:pt>
                <c:pt idx="9">
                  <c:v>37.509866311079911</c:v>
                </c:pt>
                <c:pt idx="10">
                  <c:v>38.156342669777985</c:v>
                </c:pt>
                <c:pt idx="11">
                  <c:v>38.813960941883316</c:v>
                </c:pt>
                <c:pt idx="12">
                  <c:v>39.482913156435593</c:v>
                </c:pt>
                <c:pt idx="13">
                  <c:v>40.163394652063459</c:v>
                </c:pt>
                <c:pt idx="14">
                  <c:v>40.855604134024482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B99-4F93-B9A8-42033A044279}"/>
            </c:ext>
          </c:extLst>
        </c:ser>
        <c:ser>
          <c:idx val="1"/>
          <c:order val="1"/>
          <c:tx>
            <c:v>measured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'Permeabilized cells'!$F$38:$F$52</c:f>
              <c:numCache>
                <c:formatCode>General</c:formatCode>
                <c:ptCount val="15"/>
                <c:pt idx="0">
                  <c:v>29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</c:numCache>
            </c:numRef>
          </c:cat>
          <c:val>
            <c:numRef>
              <c:f>'Permeabilized cells'!$I$38:$I$52</c:f>
              <c:numCache>
                <c:formatCode>General</c:formatCode>
                <c:ptCount val="15"/>
                <c:pt idx="0">
                  <c:v>29.207879999999999</c:v>
                </c:pt>
                <c:pt idx="1">
                  <c:v>29.111020000000003</c:v>
                </c:pt>
                <c:pt idx="2">
                  <c:v>29.943879999999996</c:v>
                </c:pt>
                <c:pt idx="3">
                  <c:v>42.344859999999997</c:v>
                </c:pt>
                <c:pt idx="4">
                  <c:v>56.843699999999991</c:v>
                </c:pt>
                <c:pt idx="5" formatCode="0.000">
                  <c:v>29.702719999999999</c:v>
                </c:pt>
                <c:pt idx="6" formatCode="0.000">
                  <c:v>30.354920000000003</c:v>
                </c:pt>
                <c:pt idx="7" formatCode="0.000">
                  <c:v>33.45758</c:v>
                </c:pt>
                <c:pt idx="8" formatCode="0.000">
                  <c:v>33.866419999999998</c:v>
                </c:pt>
                <c:pt idx="9" formatCode="0.000">
                  <c:v>38.101740000000007</c:v>
                </c:pt>
                <c:pt idx="10" formatCode="0.000">
                  <c:v>38.363839999999996</c:v>
                </c:pt>
                <c:pt idx="11" formatCode="0.000">
                  <c:v>32.731039999999993</c:v>
                </c:pt>
                <c:pt idx="12" formatCode="0.000">
                  <c:v>40.168780000000005</c:v>
                </c:pt>
                <c:pt idx="13" formatCode="0.000">
                  <c:v>30.051079999999995</c:v>
                </c:pt>
                <c:pt idx="14" formatCode="0.000">
                  <c:v>12.986140000000001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B99-4F93-B9A8-42033A04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813824"/>
        <c:axId val="360812144"/>
      </c:barChart>
      <c:catAx>
        <c:axId val="3608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12144"/>
        <c:crosses val="autoZero"/>
        <c:auto val="1"/>
        <c:lblAlgn val="ctr"/>
        <c:lblOffset val="100"/>
        <c:noMultiLvlLbl val="0"/>
      </c:catAx>
      <c:valAx>
        <c:axId val="3608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</xdr:row>
      <xdr:rowOff>123825</xdr:rowOff>
    </xdr:from>
    <xdr:to>
      <xdr:col>11</xdr:col>
      <xdr:colOff>123825</xdr:colOff>
      <xdr:row>17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2</xdr:row>
      <xdr:rowOff>152399</xdr:rowOff>
    </xdr:from>
    <xdr:to>
      <xdr:col>17</xdr:col>
      <xdr:colOff>266700</xdr:colOff>
      <xdr:row>17</xdr:row>
      <xdr:rowOff>161924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266700</xdr:colOff>
      <xdr:row>20</xdr:row>
      <xdr:rowOff>104775</xdr:rowOff>
    </xdr:from>
    <xdr:to>
      <xdr:col>20</xdr:col>
      <xdr:colOff>266700</xdr:colOff>
      <xdr:row>36</xdr:row>
      <xdr:rowOff>142875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3</xdr:row>
      <xdr:rowOff>114300</xdr:rowOff>
    </xdr:from>
    <xdr:to>
      <xdr:col>9</xdr:col>
      <xdr:colOff>76200</xdr:colOff>
      <xdr:row>19</xdr:row>
      <xdr:rowOff>28575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171449</xdr:colOff>
      <xdr:row>3</xdr:row>
      <xdr:rowOff>123825</xdr:rowOff>
    </xdr:from>
    <xdr:to>
      <xdr:col>13</xdr:col>
      <xdr:colOff>581025</xdr:colOff>
      <xdr:row>19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409576</xdr:colOff>
      <xdr:row>19</xdr:row>
      <xdr:rowOff>133350</xdr:rowOff>
    </xdr:from>
    <xdr:to>
      <xdr:col>9</xdr:col>
      <xdr:colOff>1076325</xdr:colOff>
      <xdr:row>34</xdr:row>
      <xdr:rowOff>66675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G17" sqref="G17"/>
    </sheetView>
  </sheetViews>
  <sheetFormatPr defaultRowHeight="15" x14ac:dyDescent="0.25"/>
  <sheetData>
    <row r="1" spans="1:3" ht="18.75" x14ac:dyDescent="0.3">
      <c r="A1" s="22" t="s">
        <v>24</v>
      </c>
      <c r="B1" s="22"/>
      <c r="C1" s="22"/>
    </row>
    <row r="2" spans="1:3" x14ac:dyDescent="0.25">
      <c r="A2" t="s">
        <v>25</v>
      </c>
    </row>
    <row r="3" spans="1:3" x14ac:dyDescent="0.25">
      <c r="A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zoomScaleNormal="100" workbookViewId="0"/>
  </sheetViews>
  <sheetFormatPr defaultColWidth="11.42578125" defaultRowHeight="15" x14ac:dyDescent="0.25"/>
  <cols>
    <col min="1" max="1" width="19.7109375" customWidth="1"/>
    <col min="3" max="3" width="21.28515625" customWidth="1"/>
    <col min="4" max="4" width="13.85546875" customWidth="1"/>
  </cols>
  <sheetData>
    <row r="1" spans="1:6" s="22" customFormat="1" ht="21" customHeight="1" x14ac:dyDescent="0.3">
      <c r="A1" s="22" t="s">
        <v>16</v>
      </c>
    </row>
    <row r="2" spans="1:6" ht="18" customHeight="1" x14ac:dyDescent="0.35">
      <c r="F2" s="16"/>
    </row>
    <row r="3" spans="1:6" x14ac:dyDescent="0.25">
      <c r="A3" s="1" t="s">
        <v>13</v>
      </c>
      <c r="B3" s="1" t="s">
        <v>0</v>
      </c>
      <c r="C3" s="21" t="s">
        <v>5</v>
      </c>
      <c r="D3" s="1" t="s">
        <v>1</v>
      </c>
    </row>
    <row r="4" spans="1:6" x14ac:dyDescent="0.25">
      <c r="A4" s="7">
        <v>29</v>
      </c>
      <c r="B4" s="11">
        <f>1000/(273.15+A4)</f>
        <v>3.3096144299189145</v>
      </c>
      <c r="C4" s="18">
        <v>16.079800000000002</v>
      </c>
      <c r="D4" s="3">
        <f>LN(C4)</f>
        <v>2.7775638258625248</v>
      </c>
    </row>
    <row r="5" spans="1:6" x14ac:dyDescent="0.25">
      <c r="A5" s="7">
        <v>29</v>
      </c>
      <c r="B5" s="11">
        <f t="shared" ref="B5:B68" si="0">1000/(273.15+A5)</f>
        <v>3.3096144299189145</v>
      </c>
      <c r="C5" s="18">
        <v>13.2943</v>
      </c>
      <c r="D5" s="3">
        <f t="shared" ref="D5:D68" si="1">LN(C5)</f>
        <v>2.5873353719361543</v>
      </c>
    </row>
    <row r="6" spans="1:6" x14ac:dyDescent="0.25">
      <c r="A6" s="7">
        <v>29</v>
      </c>
      <c r="B6" s="11">
        <f t="shared" si="0"/>
        <v>3.3096144299189145</v>
      </c>
      <c r="C6" s="18">
        <v>13.3758</v>
      </c>
      <c r="D6" s="3">
        <f t="shared" si="1"/>
        <v>2.5934471040774514</v>
      </c>
    </row>
    <row r="7" spans="1:6" x14ac:dyDescent="0.25">
      <c r="A7" s="7">
        <v>29</v>
      </c>
      <c r="B7" s="11">
        <f t="shared" si="0"/>
        <v>3.3096144299189145</v>
      </c>
      <c r="C7" s="18">
        <v>17.903700000000001</v>
      </c>
      <c r="D7" s="3">
        <f t="shared" si="1"/>
        <v>2.8850073953970141</v>
      </c>
    </row>
    <row r="8" spans="1:6" x14ac:dyDescent="0.25">
      <c r="A8" s="7">
        <v>29</v>
      </c>
      <c r="B8" s="11">
        <f t="shared" si="0"/>
        <v>3.3096144299189145</v>
      </c>
      <c r="C8" s="18">
        <v>19.408899999999999</v>
      </c>
      <c r="D8" s="3">
        <f t="shared" si="1"/>
        <v>2.9657317237563605</v>
      </c>
    </row>
    <row r="9" spans="1:6" x14ac:dyDescent="0.25">
      <c r="A9" s="24">
        <v>31</v>
      </c>
      <c r="B9" s="27">
        <f t="shared" si="0"/>
        <v>3.2878513891172121</v>
      </c>
      <c r="C9" s="24">
        <v>15.061199999999999</v>
      </c>
      <c r="D9" s="26">
        <f t="shared" si="1"/>
        <v>2.7121219004722636</v>
      </c>
    </row>
    <row r="10" spans="1:6" x14ac:dyDescent="0.25">
      <c r="A10" s="24">
        <v>31</v>
      </c>
      <c r="B10" s="27">
        <f t="shared" si="0"/>
        <v>3.2878513891172121</v>
      </c>
      <c r="C10" s="24">
        <v>15.450699999999999</v>
      </c>
      <c r="D10" s="26">
        <f t="shared" si="1"/>
        <v>2.7376543097607691</v>
      </c>
    </row>
    <row r="11" spans="1:6" x14ac:dyDescent="0.25">
      <c r="A11" s="24">
        <v>31</v>
      </c>
      <c r="B11" s="27">
        <f t="shared" si="0"/>
        <v>3.2878513891172121</v>
      </c>
      <c r="C11" s="24">
        <v>15.690899999999999</v>
      </c>
      <c r="D11" s="26">
        <f t="shared" si="1"/>
        <v>2.7530809264765135</v>
      </c>
    </row>
    <row r="12" spans="1:6" x14ac:dyDescent="0.25">
      <c r="A12" s="24">
        <v>31</v>
      </c>
      <c r="B12" s="27">
        <f t="shared" si="0"/>
        <v>3.2878513891172121</v>
      </c>
      <c r="C12" s="24">
        <v>15.882400000000001</v>
      </c>
      <c r="D12" s="26">
        <f t="shared" si="1"/>
        <v>2.765211577900732</v>
      </c>
    </row>
    <row r="13" spans="1:6" x14ac:dyDescent="0.25">
      <c r="A13" s="24">
        <v>31</v>
      </c>
      <c r="B13" s="27">
        <f t="shared" si="0"/>
        <v>3.2878513891172121</v>
      </c>
      <c r="C13" s="24">
        <v>21.147199999999998</v>
      </c>
      <c r="D13" s="26">
        <f t="shared" si="1"/>
        <v>3.051507509021405</v>
      </c>
    </row>
    <row r="14" spans="1:6" x14ac:dyDescent="0.25">
      <c r="A14" s="7">
        <v>33</v>
      </c>
      <c r="B14" s="11">
        <f t="shared" si="0"/>
        <v>3.2663726931242856</v>
      </c>
      <c r="C14" s="18">
        <v>20.269599999999997</v>
      </c>
      <c r="D14" s="3">
        <f t="shared" si="1"/>
        <v>3.0091222266727504</v>
      </c>
    </row>
    <row r="15" spans="1:6" x14ac:dyDescent="0.25">
      <c r="A15" s="7">
        <v>33</v>
      </c>
      <c r="B15" s="11">
        <f t="shared" si="0"/>
        <v>3.2663726931242856</v>
      </c>
      <c r="C15" s="18">
        <v>17.375799999999998</v>
      </c>
      <c r="D15" s="3">
        <f t="shared" si="1"/>
        <v>2.8550784335563693</v>
      </c>
    </row>
    <row r="16" spans="1:6" x14ac:dyDescent="0.25">
      <c r="A16" s="18">
        <v>33</v>
      </c>
      <c r="B16" s="11">
        <f t="shared" si="0"/>
        <v>3.2663726931242856</v>
      </c>
      <c r="C16" s="18">
        <v>12.113899999999999</v>
      </c>
      <c r="D16" s="3">
        <f t="shared" si="1"/>
        <v>2.4943535536130108</v>
      </c>
    </row>
    <row r="17" spans="1:14" x14ac:dyDescent="0.25">
      <c r="A17" s="7">
        <v>33</v>
      </c>
      <c r="B17" s="11">
        <f t="shared" si="0"/>
        <v>3.2663726931242856</v>
      </c>
      <c r="C17" s="18">
        <v>22.9239</v>
      </c>
      <c r="D17" s="3">
        <f t="shared" si="1"/>
        <v>3.1321800344395299</v>
      </c>
    </row>
    <row r="18" spans="1:14" x14ac:dyDescent="0.25">
      <c r="A18" s="7">
        <v>33</v>
      </c>
      <c r="B18" s="11">
        <f t="shared" si="0"/>
        <v>3.2663726931242856</v>
      </c>
      <c r="C18" s="18">
        <v>23.874700000000001</v>
      </c>
      <c r="D18" s="3">
        <f t="shared" si="1"/>
        <v>3.1728193208428221</v>
      </c>
    </row>
    <row r="19" spans="1:14" x14ac:dyDescent="0.25">
      <c r="A19" s="24">
        <v>35</v>
      </c>
      <c r="B19" s="27">
        <f t="shared" si="0"/>
        <v>3.2451728054518907</v>
      </c>
      <c r="C19" s="24">
        <v>28.435499999999998</v>
      </c>
      <c r="D19" s="26">
        <f>LN(C19)</f>
        <v>3.347638364567592</v>
      </c>
    </row>
    <row r="20" spans="1:14" x14ac:dyDescent="0.25">
      <c r="A20" s="24">
        <v>35</v>
      </c>
      <c r="B20" s="27">
        <f t="shared" si="0"/>
        <v>3.2451728054518907</v>
      </c>
      <c r="C20" s="24">
        <v>24.619899999999998</v>
      </c>
      <c r="D20" s="26">
        <f t="shared" si="1"/>
        <v>3.2035550590096342</v>
      </c>
    </row>
    <row r="21" spans="1:14" x14ac:dyDescent="0.25">
      <c r="A21" s="25">
        <v>35</v>
      </c>
      <c r="B21" s="27">
        <f t="shared" si="0"/>
        <v>3.2451728054518907</v>
      </c>
      <c r="C21" s="24">
        <v>25.0626</v>
      </c>
      <c r="D21" s="26">
        <f t="shared" si="1"/>
        <v>3.2213766950837655</v>
      </c>
      <c r="F21" t="s">
        <v>2</v>
      </c>
      <c r="G21" t="s">
        <v>0</v>
      </c>
      <c r="H21" t="s">
        <v>3</v>
      </c>
      <c r="I21" t="s">
        <v>10</v>
      </c>
      <c r="J21" t="s">
        <v>11</v>
      </c>
      <c r="K21" t="s">
        <v>12</v>
      </c>
      <c r="L21" t="s">
        <v>4</v>
      </c>
    </row>
    <row r="22" spans="1:14" x14ac:dyDescent="0.25">
      <c r="A22" s="24">
        <v>35</v>
      </c>
      <c r="B22" s="27">
        <f t="shared" si="0"/>
        <v>3.2451728054518907</v>
      </c>
      <c r="C22" s="24">
        <v>44.885600000000004</v>
      </c>
      <c r="D22" s="26">
        <f t="shared" si="1"/>
        <v>3.8041170306140164</v>
      </c>
      <c r="F22">
        <v>29</v>
      </c>
      <c r="G22" s="17">
        <v>3.3096144299189145</v>
      </c>
      <c r="H22" s="3">
        <f>EXP(-4.3049*G22+17.057)</f>
        <v>16.600633223717956</v>
      </c>
      <c r="I22" s="3">
        <f>-4.3049*G22+17.057</f>
        <v>2.809440840642063</v>
      </c>
      <c r="J22" s="3">
        <f>AVERAGE(C4:C8)</f>
        <v>16.012499999999999</v>
      </c>
      <c r="K22" s="3">
        <f>LN(J22)</f>
        <v>2.7733696672228527</v>
      </c>
      <c r="L22" s="3">
        <f t="shared" ref="L22:L26" si="2">H22-J22</f>
        <v>0.58813322371795707</v>
      </c>
      <c r="M22" s="3">
        <f>I22-K22</f>
        <v>3.607117341921029E-2</v>
      </c>
      <c r="N22" s="3">
        <f>EXP(M22)</f>
        <v>1.0367296314577958</v>
      </c>
    </row>
    <row r="23" spans="1:14" x14ac:dyDescent="0.25">
      <c r="A23" s="24">
        <v>35</v>
      </c>
      <c r="B23" s="27">
        <f t="shared" si="0"/>
        <v>3.2451728054518907</v>
      </c>
      <c r="C23" s="24">
        <v>23.983799999999999</v>
      </c>
      <c r="D23" s="26">
        <f t="shared" si="1"/>
        <v>3.1773786024328778</v>
      </c>
      <c r="F23">
        <v>31</v>
      </c>
      <c r="G23" s="17">
        <v>3.2878513891172121</v>
      </c>
      <c r="H23" s="3">
        <f t="shared" ref="H23:H36" si="3">EXP(-4.3049*G23+17.057)</f>
        <v>18.231093218403839</v>
      </c>
      <c r="I23" s="3">
        <f t="shared" ref="I23:I36" si="4">-4.3049*G23+17.057</f>
        <v>2.903128554989312</v>
      </c>
      <c r="J23" s="3">
        <f>AVERAGE(C9:C13)</f>
        <v>16.64648</v>
      </c>
      <c r="K23" s="3">
        <f t="shared" ref="K23:K36" si="5">LN(J23)</f>
        <v>2.812198782664499</v>
      </c>
      <c r="L23" s="3">
        <f t="shared" si="2"/>
        <v>1.5846132184038382</v>
      </c>
      <c r="M23" s="3">
        <f t="shared" ref="M23:M36" si="6">I23-K23</f>
        <v>9.092977232481303E-2</v>
      </c>
      <c r="N23" s="3">
        <f t="shared" ref="N23:N36" si="7">EXP(M23)</f>
        <v>1.0951920897633516</v>
      </c>
    </row>
    <row r="24" spans="1:14" x14ac:dyDescent="0.25">
      <c r="A24" s="7">
        <v>37</v>
      </c>
      <c r="B24" s="11">
        <f t="shared" si="0"/>
        <v>3.224246332419797</v>
      </c>
      <c r="C24" s="18">
        <v>24.653000000000002</v>
      </c>
      <c r="D24" s="3">
        <f t="shared" si="1"/>
        <v>3.2048985969373414</v>
      </c>
      <c r="F24">
        <v>33</v>
      </c>
      <c r="G24" s="17">
        <v>3.2663726931242856</v>
      </c>
      <c r="H24" s="3">
        <f t="shared" si="3"/>
        <v>19.997198592520842</v>
      </c>
      <c r="I24" s="3">
        <f t="shared" si="4"/>
        <v>2.9955921933692622</v>
      </c>
      <c r="J24" s="3">
        <f>AVERAGE(C14:C18)</f>
        <v>19.311579999999999</v>
      </c>
      <c r="K24" s="3">
        <f t="shared" si="5"/>
        <v>2.9607049159828076</v>
      </c>
      <c r="L24" s="3">
        <f t="shared" si="2"/>
        <v>0.6856185925208429</v>
      </c>
      <c r="M24" s="3">
        <f t="shared" si="6"/>
        <v>3.4887277386454585E-2</v>
      </c>
      <c r="N24" s="3">
        <f t="shared" si="7"/>
        <v>1.0355029776186537</v>
      </c>
    </row>
    <row r="25" spans="1:14" x14ac:dyDescent="0.25">
      <c r="A25" s="7">
        <v>37</v>
      </c>
      <c r="B25" s="11">
        <f t="shared" si="0"/>
        <v>3.224246332419797</v>
      </c>
      <c r="C25" s="18">
        <v>32.755600000000001</v>
      </c>
      <c r="D25" s="3">
        <f t="shared" si="1"/>
        <v>3.4890739398301447</v>
      </c>
      <c r="F25">
        <v>35</v>
      </c>
      <c r="G25" s="17">
        <v>3.2451728054518907</v>
      </c>
      <c r="H25" s="3">
        <f t="shared" si="3"/>
        <v>21.908081561197012</v>
      </c>
      <c r="I25" s="3">
        <f>-4.3049*G25+17.057</f>
        <v>3.0868555898101544</v>
      </c>
      <c r="J25" s="3">
        <f>AVERAGE(C19:C23)</f>
        <v>29.397480000000002</v>
      </c>
      <c r="K25" s="3">
        <f t="shared" si="5"/>
        <v>3.3809089563852424</v>
      </c>
      <c r="L25" s="3">
        <f t="shared" si="2"/>
        <v>-7.4893984388029899</v>
      </c>
      <c r="M25" s="3">
        <f>I25-K25</f>
        <v>-0.29405336657508796</v>
      </c>
      <c r="N25" s="3">
        <f t="shared" si="7"/>
        <v>0.74523671965069838</v>
      </c>
    </row>
    <row r="26" spans="1:14" x14ac:dyDescent="0.25">
      <c r="A26" s="7">
        <v>37</v>
      </c>
      <c r="B26" s="11">
        <f t="shared" si="0"/>
        <v>3.224246332419797</v>
      </c>
      <c r="C26" s="18">
        <v>54.486600000000003</v>
      </c>
      <c r="D26" s="3">
        <f t="shared" si="1"/>
        <v>3.9979547998781979</v>
      </c>
      <c r="F26">
        <v>37</v>
      </c>
      <c r="G26" s="17">
        <v>3.224246332419797</v>
      </c>
      <c r="H26" s="3">
        <f t="shared" si="3"/>
        <v>23.973330026709927</v>
      </c>
      <c r="I26" s="3">
        <f t="shared" si="4"/>
        <v>3.1769419635660157</v>
      </c>
      <c r="J26" s="3">
        <f>AVERAGE(C24:C28)</f>
        <v>37.659860000000002</v>
      </c>
      <c r="K26" s="3">
        <f t="shared" si="5"/>
        <v>3.6285948057499775</v>
      </c>
      <c r="L26" s="3">
        <f t="shared" si="2"/>
        <v>-13.686529973290074</v>
      </c>
      <c r="M26" s="3">
        <f t="shared" si="6"/>
        <v>-0.45165284218396184</v>
      </c>
      <c r="N26" s="3">
        <f t="shared" si="7"/>
        <v>0.63657512339955402</v>
      </c>
    </row>
    <row r="27" spans="1:14" x14ac:dyDescent="0.25">
      <c r="A27" s="7">
        <v>37</v>
      </c>
      <c r="B27" s="11">
        <f t="shared" si="0"/>
        <v>3.224246332419797</v>
      </c>
      <c r="C27" s="18">
        <v>30.514499999999998</v>
      </c>
      <c r="D27" s="3">
        <f t="shared" si="1"/>
        <v>3.4182019804779791</v>
      </c>
      <c r="F27">
        <v>38</v>
      </c>
      <c r="G27">
        <v>3.21</v>
      </c>
      <c r="H27" s="3">
        <f t="shared" si="3"/>
        <v>25.489612086240964</v>
      </c>
      <c r="I27" s="3">
        <f t="shared" si="4"/>
        <v>3.2382709999999992</v>
      </c>
      <c r="J27" s="3">
        <f>AVERAGE(C29:C33)</f>
        <v>20.54196</v>
      </c>
      <c r="K27" s="3">
        <f t="shared" si="5"/>
        <v>3.0224696235116513</v>
      </c>
      <c r="L27" s="3">
        <f>H27-J27</f>
        <v>4.9476520862409643</v>
      </c>
      <c r="M27" s="3">
        <f t="shared" si="6"/>
        <v>0.21580137648834796</v>
      </c>
      <c r="N27" s="3">
        <f t="shared" si="7"/>
        <v>1.240855891367765</v>
      </c>
    </row>
    <row r="28" spans="1:14" x14ac:dyDescent="0.25">
      <c r="A28" s="7">
        <v>37</v>
      </c>
      <c r="B28" s="11">
        <f t="shared" si="0"/>
        <v>3.224246332419797</v>
      </c>
      <c r="C28" s="18">
        <v>45.889600000000002</v>
      </c>
      <c r="D28" s="3">
        <f t="shared" si="1"/>
        <v>3.8262385118727846</v>
      </c>
      <c r="F28">
        <v>39</v>
      </c>
      <c r="G28">
        <v>3.2</v>
      </c>
      <c r="H28" s="3">
        <f t="shared" si="3"/>
        <v>26.610875882841498</v>
      </c>
      <c r="I28" s="3">
        <f t="shared" si="4"/>
        <v>3.2813199999999973</v>
      </c>
      <c r="J28" s="3">
        <f>AVERAGE(C34:C38)</f>
        <v>20.369880000000002</v>
      </c>
      <c r="K28" s="3">
        <f t="shared" si="5"/>
        <v>3.0140573392051619</v>
      </c>
      <c r="L28" s="3">
        <f t="shared" ref="L28:L36" si="8">H28-J28</f>
        <v>6.2409958828414958</v>
      </c>
      <c r="M28" s="3">
        <f t="shared" si="6"/>
        <v>0.2672626607948354</v>
      </c>
      <c r="N28" s="3">
        <f t="shared" si="7"/>
        <v>1.3063835370086374</v>
      </c>
    </row>
    <row r="29" spans="1:14" x14ac:dyDescent="0.25">
      <c r="A29" s="24">
        <v>38</v>
      </c>
      <c r="B29" s="27">
        <f t="shared" si="0"/>
        <v>3.213883978788366</v>
      </c>
      <c r="C29" s="24">
        <v>20.7318</v>
      </c>
      <c r="D29" s="26">
        <f t="shared" si="1"/>
        <v>3.0316687533582964</v>
      </c>
      <c r="F29">
        <v>40</v>
      </c>
      <c r="G29">
        <v>3.19</v>
      </c>
      <c r="H29" s="3">
        <f t="shared" si="3"/>
        <v>27.781463007600809</v>
      </c>
      <c r="I29" s="3">
        <f t="shared" si="4"/>
        <v>3.324368999999999</v>
      </c>
      <c r="J29" s="3">
        <f>AVERAGE(C39:C43)</f>
        <v>23.363160000000001</v>
      </c>
      <c r="K29" s="3">
        <f t="shared" si="5"/>
        <v>3.1511604227839305</v>
      </c>
      <c r="L29" s="3">
        <f t="shared" si="8"/>
        <v>4.4183030076008087</v>
      </c>
      <c r="M29" s="3">
        <f t="shared" si="6"/>
        <v>0.17320857721606853</v>
      </c>
      <c r="N29" s="3">
        <f t="shared" si="7"/>
        <v>1.1891141013287929</v>
      </c>
    </row>
    <row r="30" spans="1:14" x14ac:dyDescent="0.25">
      <c r="A30" s="24">
        <v>38</v>
      </c>
      <c r="B30" s="27">
        <f t="shared" si="0"/>
        <v>3.213883978788366</v>
      </c>
      <c r="C30" s="24">
        <v>21.0688</v>
      </c>
      <c r="D30" s="26">
        <f t="shared" si="1"/>
        <v>3.0477932731804493</v>
      </c>
      <c r="F30">
        <v>41</v>
      </c>
      <c r="G30">
        <v>3.18</v>
      </c>
      <c r="H30" s="3">
        <f t="shared" si="3"/>
        <v>29.003543146820963</v>
      </c>
      <c r="I30" s="3">
        <f t="shared" si="4"/>
        <v>3.3674179999999989</v>
      </c>
      <c r="J30" s="3">
        <f>AVERAGE(C44:C48)</f>
        <v>26.638199999999994</v>
      </c>
      <c r="K30" s="3">
        <f t="shared" si="5"/>
        <v>3.2823462758218298</v>
      </c>
      <c r="L30" s="3">
        <f t="shared" si="8"/>
        <v>2.3653431468209689</v>
      </c>
      <c r="M30" s="3">
        <f t="shared" si="6"/>
        <v>8.5071724178169106E-2</v>
      </c>
      <c r="N30" s="3">
        <f t="shared" si="7"/>
        <v>1.0887951568357084</v>
      </c>
    </row>
    <row r="31" spans="1:14" x14ac:dyDescent="0.25">
      <c r="A31" s="24">
        <v>38</v>
      </c>
      <c r="B31" s="27">
        <f t="shared" si="0"/>
        <v>3.213883978788366</v>
      </c>
      <c r="C31" s="24">
        <v>19.564899999999998</v>
      </c>
      <c r="D31" s="26">
        <f t="shared" si="1"/>
        <v>2.9737371444814116</v>
      </c>
      <c r="F31">
        <v>42</v>
      </c>
      <c r="G31">
        <v>3.17</v>
      </c>
      <c r="H31" s="3">
        <f t="shared" si="3"/>
        <v>30.279381429241411</v>
      </c>
      <c r="I31" s="3">
        <f t="shared" si="4"/>
        <v>3.4104669999999988</v>
      </c>
      <c r="J31" s="3">
        <f>AVERAGE(C49:C53)</f>
        <v>27.668320000000001</v>
      </c>
      <c r="K31" s="3">
        <f t="shared" si="5"/>
        <v>3.3202880763791329</v>
      </c>
      <c r="L31" s="3">
        <f t="shared" si="8"/>
        <v>2.6110614292414098</v>
      </c>
      <c r="M31" s="3">
        <f t="shared" si="6"/>
        <v>9.0178923620865881E-2</v>
      </c>
      <c r="N31" s="3">
        <f t="shared" si="7"/>
        <v>1.0943700748452168</v>
      </c>
    </row>
    <row r="32" spans="1:14" x14ac:dyDescent="0.25">
      <c r="A32" s="24">
        <v>38</v>
      </c>
      <c r="B32" s="27">
        <f t="shared" si="0"/>
        <v>3.213883978788366</v>
      </c>
      <c r="C32" s="24">
        <v>18.886900000000001</v>
      </c>
      <c r="D32" s="26">
        <f t="shared" si="1"/>
        <v>2.9384685600525806</v>
      </c>
      <c r="F32">
        <v>43</v>
      </c>
      <c r="G32">
        <v>3.16</v>
      </c>
      <c r="H32" s="3">
        <f t="shared" si="3"/>
        <v>31.611342624460811</v>
      </c>
      <c r="I32" s="3">
        <f t="shared" si="4"/>
        <v>3.4535159999999987</v>
      </c>
      <c r="J32" s="3">
        <f>AVERAGE(C54:C58)</f>
        <v>25.656979999999997</v>
      </c>
      <c r="K32" s="3">
        <f t="shared" si="5"/>
        <v>3.2448156593538879</v>
      </c>
      <c r="L32" s="3">
        <f t="shared" si="8"/>
        <v>5.9543626244608134</v>
      </c>
      <c r="M32" s="3">
        <f t="shared" si="6"/>
        <v>0.20870034064611076</v>
      </c>
      <c r="N32" s="3">
        <f t="shared" si="7"/>
        <v>1.2320757401869127</v>
      </c>
    </row>
    <row r="33" spans="1:17" x14ac:dyDescent="0.25">
      <c r="A33" s="24">
        <v>38</v>
      </c>
      <c r="B33" s="27">
        <f t="shared" si="0"/>
        <v>3.213883978788366</v>
      </c>
      <c r="C33" s="24">
        <v>22.4574</v>
      </c>
      <c r="D33" s="26">
        <f t="shared" si="1"/>
        <v>3.1116201812559172</v>
      </c>
      <c r="F33">
        <v>44</v>
      </c>
      <c r="G33">
        <v>3.15</v>
      </c>
      <c r="H33" s="3">
        <f t="shared" si="3"/>
        <v>33.001895526043704</v>
      </c>
      <c r="I33" s="3">
        <f t="shared" si="4"/>
        <v>3.4965649999999986</v>
      </c>
      <c r="J33" s="3">
        <f>AVERAGE(C59:C63)</f>
        <v>24.173340000000003</v>
      </c>
      <c r="K33" s="3">
        <f t="shared" si="5"/>
        <v>3.185250373004493</v>
      </c>
      <c r="L33" s="3">
        <f t="shared" si="8"/>
        <v>8.8285555260437008</v>
      </c>
      <c r="M33" s="3">
        <f t="shared" si="6"/>
        <v>0.31131462699550561</v>
      </c>
      <c r="N33" s="3">
        <f t="shared" si="7"/>
        <v>1.3652186882757489</v>
      </c>
    </row>
    <row r="34" spans="1:17" x14ac:dyDescent="0.25">
      <c r="A34" s="7">
        <v>39</v>
      </c>
      <c r="B34" s="11">
        <f t="shared" si="0"/>
        <v>3.2035880185808105</v>
      </c>
      <c r="C34" s="7">
        <v>24.688099999999999</v>
      </c>
      <c r="D34" s="3">
        <f t="shared" si="1"/>
        <v>3.2063213461634765</v>
      </c>
      <c r="F34">
        <v>45</v>
      </c>
      <c r="G34">
        <v>3.14</v>
      </c>
      <c r="H34" s="3">
        <f t="shared" si="3"/>
        <v>34.45361752743586</v>
      </c>
      <c r="I34" s="3">
        <f t="shared" si="4"/>
        <v>3.5396139999999985</v>
      </c>
      <c r="J34" s="3">
        <f>AVERAGE(C64:C68)</f>
        <v>22.728739999999998</v>
      </c>
      <c r="K34" s="3">
        <f t="shared" si="5"/>
        <v>3.1236302029799687</v>
      </c>
      <c r="L34" s="3">
        <f t="shared" si="8"/>
        <v>11.724877527435861</v>
      </c>
      <c r="M34" s="3">
        <f t="shared" si="6"/>
        <v>0.41598379702002974</v>
      </c>
      <c r="N34" s="3">
        <f t="shared" si="7"/>
        <v>1.5158613072011851</v>
      </c>
    </row>
    <row r="35" spans="1:17" x14ac:dyDescent="0.25">
      <c r="A35" s="7">
        <v>39</v>
      </c>
      <c r="B35" s="11">
        <f t="shared" si="0"/>
        <v>3.2035880185808105</v>
      </c>
      <c r="C35" s="7">
        <v>18.989999999999998</v>
      </c>
      <c r="D35" s="3">
        <f t="shared" si="1"/>
        <v>2.9439125248241944</v>
      </c>
      <c r="F35">
        <v>46</v>
      </c>
      <c r="G35">
        <v>3.13</v>
      </c>
      <c r="H35" s="3">
        <f t="shared" si="3"/>
        <v>35.969199399169796</v>
      </c>
      <c r="I35" s="3">
        <f t="shared" si="4"/>
        <v>3.5826629999999984</v>
      </c>
      <c r="J35" s="3">
        <f>AVERAGE(C69:C73)</f>
        <v>9.8321400000000008</v>
      </c>
      <c r="K35" s="3">
        <f t="shared" si="5"/>
        <v>2.285656611381234</v>
      </c>
      <c r="L35" s="3">
        <f t="shared" si="8"/>
        <v>26.137059399169793</v>
      </c>
      <c r="M35" s="3">
        <f t="shared" si="6"/>
        <v>1.2970063886187644</v>
      </c>
      <c r="N35" s="3">
        <f t="shared" si="7"/>
        <v>3.6583286445443011</v>
      </c>
    </row>
    <row r="36" spans="1:17" x14ac:dyDescent="0.25">
      <c r="A36" s="7">
        <v>39</v>
      </c>
      <c r="B36" s="11">
        <f t="shared" si="0"/>
        <v>3.2035880185808105</v>
      </c>
      <c r="C36" s="7">
        <v>19.937999999999999</v>
      </c>
      <c r="D36" s="3">
        <f t="shared" si="1"/>
        <v>2.9926274586005124</v>
      </c>
      <c r="F36">
        <v>47</v>
      </c>
      <c r="G36">
        <v>3.12</v>
      </c>
      <c r="H36" s="3">
        <f t="shared" si="3"/>
        <v>37.551450276214986</v>
      </c>
      <c r="I36" s="3">
        <f t="shared" si="4"/>
        <v>3.6257119999999983</v>
      </c>
      <c r="J36" s="3">
        <f>AVERAGE(C74:C78)</f>
        <v>4.7708000000000004</v>
      </c>
      <c r="K36" s="3">
        <f t="shared" si="5"/>
        <v>1.562514005722377</v>
      </c>
      <c r="L36" s="3">
        <f t="shared" si="8"/>
        <v>32.780650276214985</v>
      </c>
      <c r="M36" s="3">
        <f t="shared" si="6"/>
        <v>2.0631979942776213</v>
      </c>
      <c r="N36" s="3">
        <f t="shared" si="7"/>
        <v>7.8711013407007178</v>
      </c>
    </row>
    <row r="37" spans="1:17" x14ac:dyDescent="0.25">
      <c r="A37" s="7">
        <v>39</v>
      </c>
      <c r="B37" s="11">
        <f t="shared" si="0"/>
        <v>3.2035880185808105</v>
      </c>
      <c r="C37" s="7">
        <v>15.826699999999999</v>
      </c>
      <c r="D37" s="3">
        <f t="shared" si="1"/>
        <v>2.7616983872210974</v>
      </c>
    </row>
    <row r="38" spans="1:17" x14ac:dyDescent="0.25">
      <c r="A38" s="7">
        <v>39</v>
      </c>
      <c r="B38" s="11">
        <f t="shared" si="0"/>
        <v>3.2035880185808105</v>
      </c>
      <c r="C38" s="7">
        <v>22.406599999999997</v>
      </c>
      <c r="D38" s="3">
        <f t="shared" si="1"/>
        <v>3.109355558319455</v>
      </c>
      <c r="O38" s="17"/>
    </row>
    <row r="39" spans="1:17" x14ac:dyDescent="0.25">
      <c r="A39" s="24">
        <v>40</v>
      </c>
      <c r="B39" s="27">
        <f t="shared" si="0"/>
        <v>3.1933578157432541</v>
      </c>
      <c r="C39" s="24">
        <v>22.188399999999998</v>
      </c>
      <c r="D39" s="3">
        <f t="shared" si="1"/>
        <v>3.0995696297932445</v>
      </c>
      <c r="O39" s="17"/>
    </row>
    <row r="40" spans="1:17" x14ac:dyDescent="0.25">
      <c r="A40" s="24">
        <v>40</v>
      </c>
      <c r="B40" s="27">
        <f t="shared" si="0"/>
        <v>3.1933578157432541</v>
      </c>
      <c r="C40" s="24">
        <v>18.434200000000001</v>
      </c>
      <c r="D40" s="3">
        <f t="shared" si="1"/>
        <v>2.9142076350298134</v>
      </c>
      <c r="O40" s="17"/>
    </row>
    <row r="41" spans="1:17" x14ac:dyDescent="0.25">
      <c r="A41" s="24">
        <v>40</v>
      </c>
      <c r="B41" s="27">
        <f t="shared" si="0"/>
        <v>3.1933578157432541</v>
      </c>
      <c r="C41" s="24">
        <v>28.397600000000001</v>
      </c>
      <c r="D41" s="3">
        <f t="shared" si="1"/>
        <v>3.3463046345539857</v>
      </c>
      <c r="H41">
        <f>H38-J38</f>
        <v>0</v>
      </c>
      <c r="J41">
        <f>EXP(H41)</f>
        <v>1</v>
      </c>
      <c r="O41" s="17"/>
    </row>
    <row r="42" spans="1:17" x14ac:dyDescent="0.25">
      <c r="A42" s="24">
        <v>40</v>
      </c>
      <c r="B42" s="27">
        <f t="shared" si="0"/>
        <v>3.1933578157432541</v>
      </c>
      <c r="C42" s="24">
        <v>23.011300000000002</v>
      </c>
      <c r="D42" s="3">
        <f t="shared" si="1"/>
        <v>3.1359853996265104</v>
      </c>
      <c r="M42" s="4"/>
      <c r="O42" s="17"/>
    </row>
    <row r="43" spans="1:17" x14ac:dyDescent="0.25">
      <c r="A43" s="24">
        <v>40</v>
      </c>
      <c r="B43" s="27">
        <f t="shared" si="0"/>
        <v>3.1933578157432541</v>
      </c>
      <c r="C43" s="24">
        <v>24.784300000000002</v>
      </c>
      <c r="D43" s="3">
        <f t="shared" si="1"/>
        <v>3.2102103881848554</v>
      </c>
      <c r="M43" s="4"/>
      <c r="O43" s="17"/>
    </row>
    <row r="44" spans="1:17" x14ac:dyDescent="0.25">
      <c r="A44" s="7">
        <v>41</v>
      </c>
      <c r="B44" s="11">
        <f t="shared" si="0"/>
        <v>3.1831927423205477</v>
      </c>
      <c r="C44" s="7">
        <v>23.649699999999999</v>
      </c>
      <c r="D44" s="3">
        <f t="shared" si="1"/>
        <v>3.1633504298680575</v>
      </c>
      <c r="M44" s="4"/>
      <c r="O44" s="17"/>
    </row>
    <row r="45" spans="1:17" x14ac:dyDescent="0.25">
      <c r="A45" s="7">
        <v>41</v>
      </c>
      <c r="B45" s="11">
        <f t="shared" si="0"/>
        <v>3.1831927423205477</v>
      </c>
      <c r="C45" s="7">
        <v>21.711600000000001</v>
      </c>
      <c r="D45" s="3">
        <f t="shared" si="1"/>
        <v>3.0778466799309139</v>
      </c>
      <c r="M45" s="4"/>
      <c r="O45" s="17"/>
    </row>
    <row r="46" spans="1:17" x14ac:dyDescent="0.25">
      <c r="A46" s="7">
        <v>41</v>
      </c>
      <c r="B46" s="11">
        <f t="shared" si="0"/>
        <v>3.1831927423205477</v>
      </c>
      <c r="C46" s="7">
        <v>29.044</v>
      </c>
      <c r="D46" s="3">
        <f t="shared" si="1"/>
        <v>3.3688119215180001</v>
      </c>
      <c r="M46" s="4"/>
      <c r="O46" s="17"/>
    </row>
    <row r="47" spans="1:17" x14ac:dyDescent="0.25">
      <c r="A47" s="7">
        <v>41</v>
      </c>
      <c r="B47" s="11">
        <f t="shared" si="0"/>
        <v>3.1831927423205477</v>
      </c>
      <c r="C47" s="7">
        <v>30.679099999999998</v>
      </c>
      <c r="D47" s="3">
        <f t="shared" si="1"/>
        <v>3.4235816409970656</v>
      </c>
      <c r="M47" s="4"/>
      <c r="O47" s="17"/>
    </row>
    <row r="48" spans="1:17" x14ac:dyDescent="0.25">
      <c r="A48" s="7">
        <v>41</v>
      </c>
      <c r="B48" s="11">
        <f t="shared" si="0"/>
        <v>3.1831927423205477</v>
      </c>
      <c r="C48" s="7">
        <v>28.1066</v>
      </c>
      <c r="D48" s="3">
        <f t="shared" si="1"/>
        <v>3.3360044242056208</v>
      </c>
      <c r="E48" s="7"/>
      <c r="H48" s="7"/>
      <c r="I48" s="7"/>
      <c r="J48" s="7"/>
      <c r="K48" s="7"/>
      <c r="L48" s="7"/>
      <c r="M48" s="13"/>
      <c r="O48" s="17"/>
      <c r="P48" s="7"/>
      <c r="Q48" s="7"/>
    </row>
    <row r="49" spans="1:17" x14ac:dyDescent="0.25">
      <c r="A49" s="28">
        <v>42</v>
      </c>
      <c r="B49" s="29">
        <f t="shared" si="0"/>
        <v>3.1730921783277806</v>
      </c>
      <c r="C49" s="28">
        <v>24.803199999999997</v>
      </c>
      <c r="D49" s="3">
        <f t="shared" si="1"/>
        <v>3.2109726771050551</v>
      </c>
      <c r="E49" s="7"/>
      <c r="H49" s="7"/>
      <c r="I49" s="7"/>
      <c r="J49" s="7"/>
      <c r="K49" s="7"/>
      <c r="L49" s="7"/>
      <c r="M49" s="13"/>
      <c r="O49" s="17"/>
      <c r="P49" s="7"/>
      <c r="Q49" s="7"/>
    </row>
    <row r="50" spans="1:17" x14ac:dyDescent="0.25">
      <c r="A50" s="28">
        <v>42</v>
      </c>
      <c r="B50" s="29">
        <f t="shared" si="0"/>
        <v>3.1730921783277806</v>
      </c>
      <c r="C50" s="28">
        <v>24.142099999999999</v>
      </c>
      <c r="D50" s="3">
        <f t="shared" si="1"/>
        <v>3.1839572044292499</v>
      </c>
      <c r="E50" s="7"/>
      <c r="F50" s="7"/>
      <c r="G50" s="7"/>
      <c r="H50" s="7"/>
      <c r="I50" s="7"/>
      <c r="J50" s="7"/>
      <c r="K50" s="7"/>
      <c r="L50" s="7"/>
      <c r="M50" s="13"/>
      <c r="O50" s="17"/>
      <c r="P50" s="7"/>
      <c r="Q50" s="7"/>
    </row>
    <row r="51" spans="1:17" x14ac:dyDescent="0.25">
      <c r="A51" s="28">
        <v>42</v>
      </c>
      <c r="B51" s="29">
        <f t="shared" si="0"/>
        <v>3.1730921783277806</v>
      </c>
      <c r="C51" s="28">
        <v>20.860700000000001</v>
      </c>
      <c r="D51" s="3">
        <f t="shared" si="1"/>
        <v>3.0378670060565813</v>
      </c>
      <c r="E51" s="7"/>
      <c r="F51" s="7"/>
      <c r="G51" s="7"/>
      <c r="H51" s="7"/>
      <c r="I51" s="7"/>
      <c r="J51" s="7"/>
      <c r="K51" s="7"/>
      <c r="L51" s="7"/>
      <c r="M51" s="13"/>
      <c r="O51" s="17"/>
      <c r="P51" s="7"/>
      <c r="Q51" s="7"/>
    </row>
    <row r="52" spans="1:17" x14ac:dyDescent="0.25">
      <c r="A52" s="28">
        <v>42</v>
      </c>
      <c r="B52" s="29">
        <f t="shared" si="0"/>
        <v>3.1730921783277806</v>
      </c>
      <c r="C52" s="28">
        <v>36.772099999999995</v>
      </c>
      <c r="D52" s="3">
        <f t="shared" si="1"/>
        <v>3.6047394054582695</v>
      </c>
      <c r="E52" s="7"/>
      <c r="F52" s="7"/>
      <c r="G52" s="7"/>
      <c r="H52" s="7"/>
      <c r="I52" s="7"/>
      <c r="J52" s="7"/>
      <c r="K52" s="7"/>
      <c r="L52" s="7"/>
      <c r="M52" s="13"/>
      <c r="O52" s="17"/>
      <c r="P52" s="7"/>
      <c r="Q52" s="7"/>
    </row>
    <row r="53" spans="1:17" x14ac:dyDescent="0.25">
      <c r="A53" s="28">
        <v>42</v>
      </c>
      <c r="B53" s="29">
        <f t="shared" si="0"/>
        <v>3.1730921783277806</v>
      </c>
      <c r="C53" s="28">
        <v>31.763500000000001</v>
      </c>
      <c r="D53" s="3">
        <f t="shared" si="1"/>
        <v>3.4583178318185297</v>
      </c>
      <c r="E53" s="7"/>
      <c r="F53" s="7"/>
      <c r="G53" s="7"/>
      <c r="H53" s="7"/>
      <c r="I53" s="7"/>
      <c r="J53" s="7"/>
      <c r="K53" s="7"/>
      <c r="L53" s="7"/>
      <c r="M53" s="13"/>
      <c r="N53" s="7"/>
      <c r="O53" s="7"/>
      <c r="P53" s="7"/>
      <c r="Q53" s="7"/>
    </row>
    <row r="54" spans="1:17" x14ac:dyDescent="0.25">
      <c r="A54" s="24">
        <v>43</v>
      </c>
      <c r="B54" s="27">
        <f t="shared" si="0"/>
        <v>3.1630555116242292</v>
      </c>
      <c r="C54" s="24">
        <v>23.135899999999999</v>
      </c>
      <c r="D54" s="3">
        <f t="shared" si="1"/>
        <v>3.1413855236986867</v>
      </c>
      <c r="E54" s="7"/>
      <c r="F54" s="7"/>
      <c r="G54" s="7"/>
      <c r="H54" s="7"/>
      <c r="I54" s="7"/>
      <c r="J54" s="7"/>
      <c r="K54" s="7"/>
      <c r="L54" s="7"/>
      <c r="M54" s="13"/>
      <c r="N54" s="7"/>
      <c r="O54" s="7"/>
      <c r="P54" s="7"/>
      <c r="Q54" s="7"/>
    </row>
    <row r="55" spans="1:17" x14ac:dyDescent="0.25">
      <c r="A55" s="24">
        <v>43</v>
      </c>
      <c r="B55" s="27">
        <f t="shared" si="0"/>
        <v>3.1630555116242292</v>
      </c>
      <c r="C55" s="24">
        <v>26.275500000000001</v>
      </c>
      <c r="D55" s="3">
        <f t="shared" si="1"/>
        <v>3.2686369460776747</v>
      </c>
      <c r="E55" s="7"/>
      <c r="F55" s="7"/>
      <c r="G55" s="7"/>
      <c r="H55" s="7"/>
      <c r="I55" s="7"/>
      <c r="J55" s="7"/>
      <c r="K55" s="7"/>
      <c r="L55" s="7"/>
      <c r="M55" s="13"/>
      <c r="N55" s="7"/>
      <c r="O55" s="7"/>
      <c r="P55" s="7"/>
      <c r="Q55" s="7"/>
    </row>
    <row r="56" spans="1:17" x14ac:dyDescent="0.25">
      <c r="A56" s="24">
        <v>43</v>
      </c>
      <c r="B56" s="27">
        <f t="shared" si="0"/>
        <v>3.1630555116242292</v>
      </c>
      <c r="C56" s="24">
        <v>26.4635</v>
      </c>
      <c r="D56" s="3">
        <f t="shared" si="1"/>
        <v>3.2757664250715006</v>
      </c>
      <c r="E56" s="7"/>
      <c r="F56" s="7"/>
      <c r="G56" s="7"/>
      <c r="H56" s="7"/>
      <c r="I56" s="7"/>
      <c r="J56" s="7"/>
      <c r="K56" s="7"/>
      <c r="L56" s="7"/>
      <c r="M56" s="13"/>
      <c r="N56" s="7"/>
      <c r="O56" s="7"/>
      <c r="P56" s="7"/>
      <c r="Q56" s="7"/>
    </row>
    <row r="57" spans="1:17" x14ac:dyDescent="0.25">
      <c r="A57" s="24">
        <v>43</v>
      </c>
      <c r="B57" s="27">
        <f t="shared" si="0"/>
        <v>3.1630555116242292</v>
      </c>
      <c r="C57" s="24">
        <v>21.497700000000002</v>
      </c>
      <c r="D57" s="3">
        <f t="shared" si="1"/>
        <v>3.067945952667011</v>
      </c>
      <c r="E57" s="7"/>
      <c r="F57" s="7"/>
      <c r="G57" s="7"/>
      <c r="H57" s="7"/>
      <c r="I57" s="7"/>
      <c r="J57" s="7"/>
      <c r="K57" s="7"/>
      <c r="L57" s="7"/>
      <c r="M57" s="13"/>
      <c r="N57" s="7"/>
      <c r="O57" s="7"/>
      <c r="P57" s="7"/>
      <c r="Q57" s="7"/>
    </row>
    <row r="58" spans="1:17" x14ac:dyDescent="0.25">
      <c r="A58" s="24">
        <v>43</v>
      </c>
      <c r="B58" s="27">
        <f t="shared" si="0"/>
        <v>3.1630555116242292</v>
      </c>
      <c r="C58" s="24">
        <v>30.912299999999998</v>
      </c>
      <c r="D58" s="3">
        <f t="shared" si="1"/>
        <v>3.4311541629519589</v>
      </c>
      <c r="E58" s="7"/>
      <c r="F58" s="7"/>
      <c r="G58" s="7"/>
      <c r="H58" s="7"/>
      <c r="I58" s="7"/>
      <c r="J58" s="13"/>
      <c r="K58" s="13"/>
      <c r="L58" s="13"/>
      <c r="M58" s="13"/>
      <c r="N58" s="13"/>
      <c r="O58" s="13"/>
      <c r="P58" s="7"/>
      <c r="Q58" s="7"/>
    </row>
    <row r="59" spans="1:17" x14ac:dyDescent="0.25">
      <c r="A59">
        <v>44</v>
      </c>
      <c r="B59" s="11">
        <f t="shared" si="0"/>
        <v>3.1530821377896898</v>
      </c>
      <c r="C59" s="7">
        <v>23.657</v>
      </c>
      <c r="D59" s="3">
        <f t="shared" si="1"/>
        <v>3.1636590542302705</v>
      </c>
      <c r="E59" s="7"/>
      <c r="F59" s="7"/>
      <c r="G59" s="7"/>
      <c r="H59" s="7"/>
      <c r="I59" s="7"/>
      <c r="J59" s="9"/>
      <c r="K59" s="9"/>
      <c r="L59" s="9"/>
      <c r="M59" s="10"/>
      <c r="N59" s="10"/>
      <c r="O59" s="10"/>
      <c r="P59" s="7"/>
      <c r="Q59" s="7"/>
    </row>
    <row r="60" spans="1:17" x14ac:dyDescent="0.25">
      <c r="A60">
        <v>44</v>
      </c>
      <c r="B60" s="11">
        <f t="shared" si="0"/>
        <v>3.1530821377896898</v>
      </c>
      <c r="C60" s="7">
        <v>13.93</v>
      </c>
      <c r="D60" s="3">
        <f t="shared" si="1"/>
        <v>2.6340447877917144</v>
      </c>
      <c r="E60" s="7"/>
      <c r="F60" s="7"/>
      <c r="G60" s="7"/>
      <c r="H60" s="7"/>
      <c r="I60" s="7"/>
      <c r="J60" s="7"/>
      <c r="K60" s="7"/>
      <c r="L60" s="8"/>
      <c r="M60" s="10"/>
      <c r="N60" s="10"/>
      <c r="O60" s="10"/>
      <c r="P60" s="7"/>
      <c r="Q60" s="7"/>
    </row>
    <row r="61" spans="1:17" x14ac:dyDescent="0.25">
      <c r="A61">
        <v>44</v>
      </c>
      <c r="B61" s="11">
        <f t="shared" si="0"/>
        <v>3.1530821377896898</v>
      </c>
      <c r="C61" s="7">
        <v>24.142900000000001</v>
      </c>
      <c r="D61" s="3">
        <f t="shared" si="1"/>
        <v>3.1839903410141135</v>
      </c>
      <c r="E61" s="7"/>
      <c r="F61" s="7"/>
      <c r="G61" s="7"/>
      <c r="H61" s="7"/>
      <c r="I61" s="7"/>
      <c r="J61" s="9"/>
      <c r="K61" s="9"/>
      <c r="L61" s="8"/>
      <c r="M61" s="10"/>
      <c r="N61" s="10"/>
      <c r="O61" s="10"/>
      <c r="P61" s="7"/>
      <c r="Q61" s="7"/>
    </row>
    <row r="62" spans="1:17" x14ac:dyDescent="0.25">
      <c r="A62">
        <v>44</v>
      </c>
      <c r="B62" s="11">
        <f t="shared" si="0"/>
        <v>3.1530821377896898</v>
      </c>
      <c r="C62" s="7">
        <v>36.378899999999994</v>
      </c>
      <c r="D62" s="3">
        <f t="shared" si="1"/>
        <v>3.5939889362392243</v>
      </c>
      <c r="E62" s="7"/>
      <c r="F62" s="7"/>
      <c r="G62" s="7"/>
      <c r="H62" s="7"/>
      <c r="I62" s="7"/>
      <c r="J62" s="7"/>
      <c r="K62" s="7"/>
      <c r="L62" s="8"/>
      <c r="M62" s="10"/>
      <c r="N62" s="10"/>
      <c r="O62" s="10"/>
      <c r="P62" s="7"/>
      <c r="Q62" s="7"/>
    </row>
    <row r="63" spans="1:17" x14ac:dyDescent="0.25">
      <c r="A63">
        <v>44</v>
      </c>
      <c r="B63" s="11">
        <f t="shared" si="0"/>
        <v>3.1530821377896898</v>
      </c>
      <c r="C63" s="7">
        <v>22.757899999999999</v>
      </c>
      <c r="D63" s="3">
        <f t="shared" si="1"/>
        <v>3.1249123378659309</v>
      </c>
      <c r="E63" s="7"/>
      <c r="F63" s="7"/>
      <c r="G63" s="7"/>
      <c r="H63" s="7"/>
      <c r="I63" s="7"/>
      <c r="J63" s="9"/>
      <c r="K63" s="9"/>
      <c r="L63" s="8"/>
      <c r="M63" s="10"/>
      <c r="N63" s="10"/>
      <c r="O63" s="10"/>
      <c r="P63" s="7"/>
      <c r="Q63" s="7"/>
    </row>
    <row r="64" spans="1:17" x14ac:dyDescent="0.25">
      <c r="A64" s="24">
        <v>45</v>
      </c>
      <c r="B64" s="27">
        <f t="shared" si="0"/>
        <v>3.1431714600031433</v>
      </c>
      <c r="C64" s="24">
        <v>23.274000000000001</v>
      </c>
      <c r="D64" s="3">
        <f t="shared" si="1"/>
        <v>3.1473368576858851</v>
      </c>
      <c r="E64" s="7"/>
      <c r="F64" s="7"/>
      <c r="G64" s="7"/>
      <c r="H64" s="7"/>
      <c r="I64" s="7"/>
      <c r="J64" s="7"/>
      <c r="K64" s="7"/>
      <c r="L64" s="8"/>
      <c r="M64" s="10"/>
      <c r="N64" s="10"/>
      <c r="O64" s="10"/>
      <c r="P64" s="7"/>
      <c r="Q64" s="7"/>
    </row>
    <row r="65" spans="1:17" x14ac:dyDescent="0.25">
      <c r="A65" s="24">
        <v>45</v>
      </c>
      <c r="B65" s="27">
        <f t="shared" si="0"/>
        <v>3.1431714600031433</v>
      </c>
      <c r="C65" s="24">
        <v>19.3201</v>
      </c>
      <c r="D65" s="3">
        <f t="shared" si="1"/>
        <v>2.9611460047544136</v>
      </c>
      <c r="E65" s="7"/>
      <c r="F65" s="7"/>
      <c r="G65" s="7"/>
      <c r="H65" s="7"/>
      <c r="I65" s="7"/>
      <c r="J65" s="9"/>
      <c r="K65" s="9"/>
      <c r="L65" s="8"/>
      <c r="M65" s="10"/>
      <c r="N65" s="10"/>
      <c r="O65" s="10"/>
      <c r="P65" s="7"/>
      <c r="Q65" s="7"/>
    </row>
    <row r="66" spans="1:17" x14ac:dyDescent="0.25">
      <c r="A66" s="24">
        <v>45</v>
      </c>
      <c r="B66" s="27">
        <f t="shared" si="0"/>
        <v>3.1431714600031433</v>
      </c>
      <c r="C66" s="24">
        <v>18.206800000000001</v>
      </c>
      <c r="D66" s="3">
        <f t="shared" si="1"/>
        <v>2.9017951506754232</v>
      </c>
      <c r="J66" s="7"/>
      <c r="K66" s="7"/>
      <c r="L66" s="8"/>
      <c r="M66" s="10"/>
      <c r="N66" s="10"/>
      <c r="O66" s="10"/>
    </row>
    <row r="67" spans="1:17" x14ac:dyDescent="0.25">
      <c r="A67" s="24">
        <v>45</v>
      </c>
      <c r="B67" s="27">
        <f t="shared" si="0"/>
        <v>3.1431714600031433</v>
      </c>
      <c r="C67" s="24">
        <v>16.698900000000002</v>
      </c>
      <c r="D67" s="3">
        <f t="shared" si="1"/>
        <v>2.8153428489898271</v>
      </c>
      <c r="J67" s="9"/>
      <c r="K67" s="9"/>
      <c r="L67" s="8"/>
      <c r="M67" s="10"/>
      <c r="N67" s="10"/>
      <c r="O67" s="10"/>
    </row>
    <row r="68" spans="1:17" x14ac:dyDescent="0.25">
      <c r="A68" s="24">
        <v>45</v>
      </c>
      <c r="B68" s="27">
        <f t="shared" si="0"/>
        <v>3.1431714600031433</v>
      </c>
      <c r="C68" s="24">
        <v>36.143899999999995</v>
      </c>
      <c r="D68" s="3">
        <f t="shared" si="1"/>
        <v>3.5875081930108861</v>
      </c>
      <c r="J68" s="7"/>
      <c r="K68" s="7"/>
      <c r="L68" s="8"/>
      <c r="M68" s="10"/>
      <c r="N68" s="10"/>
      <c r="O68" s="10"/>
    </row>
    <row r="69" spans="1:17" x14ac:dyDescent="0.25">
      <c r="A69" s="7">
        <v>46</v>
      </c>
      <c r="B69" s="11">
        <f t="shared" ref="B69:B78" si="9">1000/(273.15+A69)</f>
        <v>3.1333228889237037</v>
      </c>
      <c r="C69">
        <v>6.5106999999999999</v>
      </c>
      <c r="D69" s="3">
        <f t="shared" ref="D69:D78" si="10">LN(C69)</f>
        <v>1.8734469773215976</v>
      </c>
      <c r="J69" s="9"/>
      <c r="K69" s="9"/>
      <c r="L69" s="8"/>
      <c r="M69" s="10"/>
      <c r="N69" s="10"/>
      <c r="O69" s="10"/>
    </row>
    <row r="70" spans="1:17" x14ac:dyDescent="0.25">
      <c r="A70" s="7">
        <v>46</v>
      </c>
      <c r="B70" s="11">
        <f t="shared" si="9"/>
        <v>3.1333228889237037</v>
      </c>
      <c r="C70">
        <v>9.7286000000000001</v>
      </c>
      <c r="D70" s="3">
        <f t="shared" si="10"/>
        <v>2.2750700009534031</v>
      </c>
      <c r="J70" s="7"/>
      <c r="K70" s="7"/>
      <c r="L70" s="8"/>
      <c r="M70" s="10"/>
      <c r="N70" s="10"/>
      <c r="O70" s="10"/>
    </row>
    <row r="71" spans="1:17" x14ac:dyDescent="0.25">
      <c r="A71" s="7">
        <v>46</v>
      </c>
      <c r="B71" s="11">
        <f t="shared" si="9"/>
        <v>3.1333228889237037</v>
      </c>
      <c r="C71">
        <v>11.0929</v>
      </c>
      <c r="D71" s="3">
        <f t="shared" si="10"/>
        <v>2.4063052640219387</v>
      </c>
      <c r="J71" s="9"/>
      <c r="K71" s="9"/>
      <c r="L71" s="8"/>
      <c r="M71" s="10"/>
      <c r="N71" s="10"/>
      <c r="O71" s="10"/>
    </row>
    <row r="72" spans="1:17" x14ac:dyDescent="0.25">
      <c r="A72" s="7">
        <v>46</v>
      </c>
      <c r="B72" s="11">
        <f t="shared" si="9"/>
        <v>3.1333228889237037</v>
      </c>
      <c r="C72">
        <v>10.0197</v>
      </c>
      <c r="D72" s="3">
        <f t="shared" si="10"/>
        <v>2.3045531550887439</v>
      </c>
      <c r="J72" s="7"/>
      <c r="K72" s="7"/>
      <c r="L72" s="8"/>
      <c r="M72" s="10"/>
      <c r="N72" s="10"/>
      <c r="O72" s="10"/>
    </row>
    <row r="73" spans="1:17" x14ac:dyDescent="0.25">
      <c r="A73" s="7">
        <v>46</v>
      </c>
      <c r="B73" s="11">
        <f t="shared" si="9"/>
        <v>3.1333228889237037</v>
      </c>
      <c r="C73">
        <v>11.808800000000002</v>
      </c>
      <c r="D73" s="3">
        <f t="shared" si="10"/>
        <v>2.4688450162406501</v>
      </c>
      <c r="J73" s="9"/>
      <c r="K73" s="9"/>
      <c r="L73" s="8"/>
      <c r="M73" s="10"/>
      <c r="N73" s="10"/>
      <c r="O73" s="10"/>
    </row>
    <row r="74" spans="1:17" x14ac:dyDescent="0.25">
      <c r="A74" s="24">
        <v>47</v>
      </c>
      <c r="B74" s="27">
        <f t="shared" si="9"/>
        <v>3.1235358425737938</v>
      </c>
      <c r="C74" s="24">
        <v>5.5526999999999997</v>
      </c>
      <c r="D74" s="3">
        <f>LN(C74)</f>
        <v>1.7142842959486435</v>
      </c>
      <c r="E74" s="3">
        <f>AVERAGE(D74:D78)</f>
        <v>1.4762551562667836</v>
      </c>
      <c r="F74">
        <f>EXP(E74)</f>
        <v>4.3765255504160692</v>
      </c>
      <c r="J74" s="7"/>
      <c r="K74" s="7"/>
      <c r="L74" s="8"/>
      <c r="M74" s="10"/>
      <c r="N74" s="10"/>
      <c r="O74" s="10"/>
    </row>
    <row r="75" spans="1:17" x14ac:dyDescent="0.25">
      <c r="A75" s="24">
        <v>47</v>
      </c>
      <c r="B75" s="27">
        <f t="shared" si="9"/>
        <v>3.1235358425737938</v>
      </c>
      <c r="C75" s="24">
        <v>2.3371000000000004</v>
      </c>
      <c r="D75" s="3">
        <f t="shared" si="10"/>
        <v>0.8489108445428426</v>
      </c>
    </row>
    <row r="76" spans="1:17" x14ac:dyDescent="0.25">
      <c r="A76" s="24">
        <v>47</v>
      </c>
      <c r="B76" s="27">
        <f t="shared" si="9"/>
        <v>3.1235358425737938</v>
      </c>
      <c r="C76" s="24">
        <v>3.2335000000000003</v>
      </c>
      <c r="D76" s="3">
        <f t="shared" si="10"/>
        <v>1.1735651419045106</v>
      </c>
    </row>
    <row r="77" spans="1:17" x14ac:dyDescent="0.25">
      <c r="A77" s="24">
        <v>47</v>
      </c>
      <c r="B77" s="27">
        <f t="shared" si="9"/>
        <v>3.1235358425737938</v>
      </c>
      <c r="C77" s="24">
        <v>7.8665000000000003</v>
      </c>
      <c r="D77" s="3">
        <f t="shared" si="10"/>
        <v>2.0626132366983412</v>
      </c>
    </row>
    <row r="78" spans="1:17" x14ac:dyDescent="0.25">
      <c r="A78" s="24">
        <v>47</v>
      </c>
      <c r="B78" s="27">
        <f t="shared" si="9"/>
        <v>3.1235358425737938</v>
      </c>
      <c r="C78" s="24">
        <v>4.8642000000000003</v>
      </c>
      <c r="D78" s="3">
        <f t="shared" si="10"/>
        <v>1.5819022622395795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8"/>
  <sheetViews>
    <sheetView workbookViewId="0"/>
  </sheetViews>
  <sheetFormatPr defaultColWidth="11.42578125" defaultRowHeight="15" x14ac:dyDescent="0.25"/>
  <cols>
    <col min="1" max="1" width="17.85546875" customWidth="1"/>
    <col min="2" max="2" width="14.85546875" customWidth="1"/>
    <col min="3" max="3" width="21.140625" customWidth="1"/>
    <col min="9" max="9" width="20.140625" customWidth="1"/>
    <col min="10" max="10" width="18" customWidth="1"/>
    <col min="11" max="11" width="12" bestFit="1" customWidth="1"/>
    <col min="12" max="12" width="13.5703125" customWidth="1"/>
  </cols>
  <sheetData>
    <row r="1" spans="1:18" ht="21" x14ac:dyDescent="0.35">
      <c r="A1" s="22" t="s">
        <v>17</v>
      </c>
      <c r="B1" s="2"/>
    </row>
    <row r="2" spans="1:18" x14ac:dyDescent="0.25">
      <c r="J2" s="7"/>
      <c r="K2" s="7"/>
      <c r="L2" s="7"/>
      <c r="M2" s="7"/>
      <c r="N2" s="7"/>
      <c r="O2" s="7"/>
      <c r="P2" s="7"/>
      <c r="Q2" s="7"/>
      <c r="R2" s="7"/>
    </row>
    <row r="3" spans="1:18" x14ac:dyDescent="0.25">
      <c r="A3" s="1" t="s">
        <v>13</v>
      </c>
      <c r="B3" s="1" t="s">
        <v>0</v>
      </c>
      <c r="C3" s="21" t="s">
        <v>5</v>
      </c>
      <c r="D3" s="1" t="s">
        <v>14</v>
      </c>
      <c r="J3" s="7"/>
      <c r="K3" s="7"/>
      <c r="L3" s="7"/>
      <c r="M3" s="7"/>
      <c r="N3" s="7"/>
      <c r="O3" s="7"/>
      <c r="P3" s="7"/>
      <c r="Q3" s="7"/>
      <c r="R3" s="7"/>
    </row>
    <row r="4" spans="1:18" ht="21" x14ac:dyDescent="0.35">
      <c r="A4" s="24">
        <v>29</v>
      </c>
      <c r="B4" s="27">
        <f>1000/(273.15+A4)</f>
        <v>3.3096144299189145</v>
      </c>
      <c r="C4" s="24">
        <v>26.585799999999999</v>
      </c>
      <c r="D4" s="24">
        <f>LN(C4)</f>
        <v>3.2803772386607735</v>
      </c>
      <c r="I4" s="2"/>
      <c r="J4" s="7"/>
      <c r="K4" s="7"/>
      <c r="L4" s="7"/>
      <c r="M4" s="7"/>
      <c r="N4" s="7"/>
      <c r="O4" s="11"/>
      <c r="P4" s="7"/>
      <c r="Q4" s="7"/>
      <c r="R4" s="7"/>
    </row>
    <row r="5" spans="1:18" x14ac:dyDescent="0.25">
      <c r="A5" s="24">
        <v>29</v>
      </c>
      <c r="B5" s="27">
        <f t="shared" ref="B5:B68" si="0">1000/(273.15+A5)</f>
        <v>3.3096144299189145</v>
      </c>
      <c r="C5" s="24">
        <v>24.0549</v>
      </c>
      <c r="D5" s="24">
        <f t="shared" ref="D5:D68" si="1">LN(C5)</f>
        <v>3.1803387180028881</v>
      </c>
      <c r="J5" s="7"/>
      <c r="K5" s="7"/>
      <c r="L5" s="7"/>
      <c r="M5" s="7"/>
      <c r="N5" s="7"/>
      <c r="O5" s="11"/>
      <c r="P5" s="7"/>
      <c r="Q5" s="7"/>
      <c r="R5" s="7"/>
    </row>
    <row r="6" spans="1:18" x14ac:dyDescent="0.25">
      <c r="A6" s="24">
        <v>29</v>
      </c>
      <c r="B6" s="27">
        <f t="shared" si="0"/>
        <v>3.3096144299189145</v>
      </c>
      <c r="C6" s="24">
        <v>26.963000000000001</v>
      </c>
      <c r="D6" s="24">
        <f t="shared" si="1"/>
        <v>3.2944655558177871</v>
      </c>
      <c r="N6" s="7"/>
      <c r="O6" s="11"/>
      <c r="P6" s="7"/>
      <c r="Q6" s="7"/>
      <c r="R6" s="7"/>
    </row>
    <row r="7" spans="1:18" x14ac:dyDescent="0.25">
      <c r="A7" s="24">
        <v>29</v>
      </c>
      <c r="B7" s="27">
        <f t="shared" si="0"/>
        <v>3.3096144299189145</v>
      </c>
      <c r="C7" s="24">
        <v>33.332099999999997</v>
      </c>
      <c r="D7" s="24">
        <f t="shared" si="1"/>
        <v>3.5065208966354646</v>
      </c>
      <c r="N7" s="7"/>
      <c r="O7" s="11"/>
      <c r="P7" s="7"/>
      <c r="Q7" s="7"/>
      <c r="R7" s="7"/>
    </row>
    <row r="8" spans="1:18" x14ac:dyDescent="0.25">
      <c r="A8" s="24">
        <v>29</v>
      </c>
      <c r="B8" s="27">
        <f t="shared" si="0"/>
        <v>3.3096144299189145</v>
      </c>
      <c r="C8" s="24">
        <v>35.1036</v>
      </c>
      <c r="D8" s="24">
        <f t="shared" si="1"/>
        <v>3.5583036893150464</v>
      </c>
      <c r="N8" s="7"/>
      <c r="O8" s="11"/>
      <c r="P8" s="7"/>
      <c r="Q8" s="7"/>
      <c r="R8" s="7"/>
    </row>
    <row r="9" spans="1:18" x14ac:dyDescent="0.25">
      <c r="A9" s="7">
        <v>31</v>
      </c>
      <c r="B9" s="11">
        <f t="shared" si="0"/>
        <v>3.2878513891172121</v>
      </c>
      <c r="C9" s="7">
        <v>31.0487</v>
      </c>
      <c r="D9" s="7">
        <f t="shared" si="1"/>
        <v>3.4355569395480892</v>
      </c>
      <c r="N9" s="7"/>
      <c r="O9" s="11"/>
      <c r="P9" s="7"/>
      <c r="Q9" s="7"/>
      <c r="R9" s="7"/>
    </row>
    <row r="10" spans="1:18" x14ac:dyDescent="0.25">
      <c r="A10" s="7">
        <v>31</v>
      </c>
      <c r="B10" s="11">
        <f t="shared" si="0"/>
        <v>3.2878513891172121</v>
      </c>
      <c r="C10" s="7">
        <v>24.599800000000002</v>
      </c>
      <c r="D10" s="7">
        <f t="shared" si="1"/>
        <v>3.2027383128239673</v>
      </c>
      <c r="N10" s="7"/>
      <c r="O10" s="11"/>
      <c r="P10" s="7"/>
      <c r="Q10" s="7"/>
      <c r="R10" s="7"/>
    </row>
    <row r="11" spans="1:18" x14ac:dyDescent="0.25">
      <c r="A11" s="7">
        <v>31</v>
      </c>
      <c r="B11" s="11">
        <f t="shared" si="0"/>
        <v>3.2878513891172121</v>
      </c>
      <c r="C11" s="7">
        <v>23.819000000000003</v>
      </c>
      <c r="D11" s="7">
        <f t="shared" si="1"/>
        <v>3.1704835815177774</v>
      </c>
      <c r="N11" s="7"/>
      <c r="O11" s="11"/>
      <c r="P11" s="7"/>
      <c r="Q11" s="7"/>
      <c r="R11" s="7"/>
    </row>
    <row r="12" spans="1:18" x14ac:dyDescent="0.25">
      <c r="A12" s="7">
        <v>31</v>
      </c>
      <c r="B12" s="11">
        <f t="shared" si="0"/>
        <v>3.2878513891172121</v>
      </c>
      <c r="C12" s="7">
        <v>26.582700000000003</v>
      </c>
      <c r="D12" s="7">
        <f t="shared" si="1"/>
        <v>3.2802606282616269</v>
      </c>
      <c r="N12" s="7"/>
      <c r="O12" s="11"/>
      <c r="P12" s="7"/>
      <c r="Q12" s="7"/>
      <c r="R12" s="7"/>
    </row>
    <row r="13" spans="1:18" x14ac:dyDescent="0.25">
      <c r="A13" s="7">
        <v>31</v>
      </c>
      <c r="B13" s="11">
        <f t="shared" si="0"/>
        <v>3.2878513891172121</v>
      </c>
      <c r="C13" s="7">
        <v>39.504899999999999</v>
      </c>
      <c r="D13" s="7">
        <f t="shared" si="1"/>
        <v>3.6764247148463443</v>
      </c>
      <c r="N13" s="7"/>
      <c r="O13" s="11"/>
      <c r="P13" s="7"/>
      <c r="Q13" s="7"/>
      <c r="R13" s="7"/>
    </row>
    <row r="14" spans="1:18" x14ac:dyDescent="0.25">
      <c r="A14" s="24">
        <v>33</v>
      </c>
      <c r="B14" s="27">
        <f t="shared" si="0"/>
        <v>3.2663726931242856</v>
      </c>
      <c r="C14" s="24">
        <v>39.145600000000002</v>
      </c>
      <c r="D14" s="24">
        <f t="shared" si="1"/>
        <v>3.6672880278704603</v>
      </c>
      <c r="E14" s="7"/>
      <c r="N14" s="7"/>
      <c r="O14" s="11"/>
      <c r="P14" s="7"/>
      <c r="Q14" s="7"/>
      <c r="R14" s="7"/>
    </row>
    <row r="15" spans="1:18" x14ac:dyDescent="0.25">
      <c r="A15" s="24">
        <v>33</v>
      </c>
      <c r="B15" s="27">
        <f t="shared" si="0"/>
        <v>3.2663726931242856</v>
      </c>
      <c r="C15" s="24">
        <v>33.184699999999999</v>
      </c>
      <c r="D15" s="24">
        <f t="shared" si="1"/>
        <v>3.5020889263280059</v>
      </c>
      <c r="E15" s="7"/>
      <c r="N15" s="7"/>
      <c r="O15" s="11"/>
      <c r="P15" s="7"/>
      <c r="Q15" s="7"/>
      <c r="R15" s="7"/>
    </row>
    <row r="16" spans="1:18" x14ac:dyDescent="0.25">
      <c r="A16" s="25">
        <v>33</v>
      </c>
      <c r="B16" s="27">
        <f t="shared" si="0"/>
        <v>3.2663726931242856</v>
      </c>
      <c r="C16" s="24">
        <v>16.284099999999999</v>
      </c>
      <c r="D16" s="24">
        <f t="shared" si="1"/>
        <v>2.7901891716191742</v>
      </c>
      <c r="E16" s="7"/>
      <c r="N16" s="7"/>
      <c r="O16" s="11"/>
      <c r="P16" s="7"/>
      <c r="Q16" s="7"/>
      <c r="R16" s="7"/>
    </row>
    <row r="17" spans="1:18" x14ac:dyDescent="0.25">
      <c r="A17" s="25">
        <v>33</v>
      </c>
      <c r="B17" s="27">
        <f t="shared" si="0"/>
        <v>3.2663726931242856</v>
      </c>
      <c r="C17" s="24">
        <v>20.451499999999999</v>
      </c>
      <c r="D17" s="24">
        <f t="shared" si="1"/>
        <v>3.0180562294321098</v>
      </c>
      <c r="E17" s="7"/>
      <c r="J17" s="7"/>
      <c r="K17" s="7"/>
      <c r="L17" s="7"/>
      <c r="M17" s="7"/>
      <c r="N17" s="7"/>
      <c r="O17" s="11"/>
      <c r="P17" s="7"/>
      <c r="Q17" s="7"/>
      <c r="R17" s="7"/>
    </row>
    <row r="18" spans="1:18" x14ac:dyDescent="0.25">
      <c r="A18" s="25">
        <v>33</v>
      </c>
      <c r="B18" s="27">
        <f t="shared" si="0"/>
        <v>3.2663726931242856</v>
      </c>
      <c r="C18" s="24">
        <v>40.653500000000001</v>
      </c>
      <c r="D18" s="24">
        <f t="shared" si="1"/>
        <v>3.705084933148362</v>
      </c>
      <c r="E18" s="7"/>
      <c r="J18" s="7"/>
      <c r="K18" s="7"/>
      <c r="L18" s="7"/>
      <c r="M18" s="7"/>
      <c r="N18" s="7"/>
      <c r="O18" s="11"/>
      <c r="P18" s="7"/>
      <c r="Q18" s="7"/>
      <c r="R18" s="7"/>
    </row>
    <row r="19" spans="1:18" x14ac:dyDescent="0.25">
      <c r="A19" s="18">
        <v>35</v>
      </c>
      <c r="B19" s="11">
        <f t="shared" si="0"/>
        <v>3.2451728054518907</v>
      </c>
      <c r="C19" s="7">
        <v>48.354599999999998</v>
      </c>
      <c r="D19" s="7">
        <f t="shared" si="1"/>
        <v>3.8785613569808501</v>
      </c>
      <c r="J19" s="7"/>
      <c r="K19" s="7"/>
      <c r="L19" s="7"/>
      <c r="M19" s="7"/>
      <c r="N19" s="7"/>
      <c r="O19" s="11"/>
      <c r="P19" s="7"/>
      <c r="Q19" s="7"/>
      <c r="R19" s="7"/>
    </row>
    <row r="20" spans="1:18" x14ac:dyDescent="0.25">
      <c r="A20" s="18">
        <v>35</v>
      </c>
      <c r="B20" s="11">
        <f t="shared" si="0"/>
        <v>3.2451728054518907</v>
      </c>
      <c r="C20" s="7">
        <v>32.182000000000002</v>
      </c>
      <c r="D20" s="7">
        <f t="shared" si="1"/>
        <v>3.4714072900369586</v>
      </c>
      <c r="J20" s="7"/>
      <c r="K20" s="7"/>
      <c r="L20" s="7"/>
      <c r="M20" s="7"/>
      <c r="N20" s="7"/>
      <c r="O20" s="11"/>
      <c r="P20" s="7"/>
      <c r="Q20" s="7"/>
      <c r="R20" s="7"/>
    </row>
    <row r="21" spans="1:18" x14ac:dyDescent="0.25">
      <c r="A21" s="18">
        <v>35</v>
      </c>
      <c r="B21" s="11">
        <f t="shared" si="0"/>
        <v>3.2451728054518907</v>
      </c>
      <c r="C21" s="7">
        <v>40.689</v>
      </c>
      <c r="D21" s="7">
        <f t="shared" si="1"/>
        <v>3.7059577856486876</v>
      </c>
      <c r="J21" s="7"/>
      <c r="K21" s="7"/>
      <c r="L21" s="7"/>
      <c r="M21" s="7"/>
      <c r="N21" s="7"/>
      <c r="O21" s="11"/>
      <c r="P21" s="7"/>
      <c r="Q21" s="7"/>
      <c r="R21" s="7"/>
    </row>
    <row r="22" spans="1:18" x14ac:dyDescent="0.25">
      <c r="A22" s="7">
        <v>35</v>
      </c>
      <c r="B22" s="11">
        <f t="shared" si="0"/>
        <v>3.2451728054518907</v>
      </c>
      <c r="C22" s="7">
        <v>66.492000000000004</v>
      </c>
      <c r="D22" s="7">
        <f t="shared" si="1"/>
        <v>4.1970816396732129</v>
      </c>
      <c r="J22" s="7"/>
      <c r="K22" s="7"/>
      <c r="L22" s="7"/>
      <c r="M22" s="7"/>
      <c r="N22" s="7"/>
      <c r="O22" s="11"/>
      <c r="P22" s="7"/>
      <c r="Q22" s="7"/>
      <c r="R22" s="7"/>
    </row>
    <row r="23" spans="1:18" x14ac:dyDescent="0.25">
      <c r="A23" s="7">
        <v>35</v>
      </c>
      <c r="B23" s="11">
        <f t="shared" si="0"/>
        <v>3.2451728054518907</v>
      </c>
      <c r="C23" s="7">
        <v>24.006699999999999</v>
      </c>
      <c r="D23" s="7">
        <f t="shared" si="1"/>
        <v>3.1783329580548489</v>
      </c>
      <c r="J23" s="7"/>
      <c r="K23" s="7"/>
      <c r="L23" s="7"/>
      <c r="M23" s="7"/>
      <c r="N23" s="7"/>
      <c r="O23" s="11"/>
      <c r="P23" s="7"/>
      <c r="Q23" s="7"/>
      <c r="R23" s="7"/>
    </row>
    <row r="24" spans="1:18" x14ac:dyDescent="0.25">
      <c r="A24" s="25">
        <v>37</v>
      </c>
      <c r="B24" s="27">
        <f t="shared" si="0"/>
        <v>3.224246332419797</v>
      </c>
      <c r="C24" s="24">
        <v>46.372699999999995</v>
      </c>
      <c r="D24" s="24">
        <f t="shared" si="1"/>
        <v>3.8367109240103607</v>
      </c>
      <c r="J24" s="7"/>
      <c r="K24" s="7"/>
      <c r="L24" s="7"/>
      <c r="M24" s="7"/>
      <c r="N24" s="7"/>
      <c r="O24" s="11"/>
      <c r="P24" s="7"/>
      <c r="Q24" s="7"/>
      <c r="R24" s="7"/>
    </row>
    <row r="25" spans="1:18" x14ac:dyDescent="0.25">
      <c r="A25" s="24">
        <v>37</v>
      </c>
      <c r="B25" s="27">
        <f t="shared" si="0"/>
        <v>3.224246332419797</v>
      </c>
      <c r="C25" s="24">
        <v>58.630299999999998</v>
      </c>
      <c r="D25" s="24">
        <f t="shared" si="1"/>
        <v>4.0712516277974178</v>
      </c>
      <c r="J25" s="7"/>
      <c r="K25" s="7"/>
      <c r="L25" s="7"/>
      <c r="M25" s="7"/>
      <c r="N25" s="7"/>
      <c r="O25" s="11"/>
      <c r="P25" s="7"/>
      <c r="Q25" s="7"/>
      <c r="R25" s="7"/>
    </row>
    <row r="26" spans="1:18" x14ac:dyDescent="0.25">
      <c r="A26" s="24">
        <v>37</v>
      </c>
      <c r="B26" s="27">
        <f t="shared" si="0"/>
        <v>3.224246332419797</v>
      </c>
      <c r="C26" s="24">
        <v>72.4024</v>
      </c>
      <c r="D26" s="24">
        <f t="shared" si="1"/>
        <v>4.2822394480135202</v>
      </c>
      <c r="J26" s="7"/>
      <c r="K26" s="7"/>
      <c r="L26" s="7"/>
      <c r="M26" s="7"/>
      <c r="N26" s="7"/>
      <c r="O26" s="11"/>
      <c r="P26" s="7"/>
      <c r="Q26" s="7"/>
      <c r="R26" s="7"/>
    </row>
    <row r="27" spans="1:18" x14ac:dyDescent="0.25">
      <c r="A27" s="24">
        <v>37</v>
      </c>
      <c r="B27" s="27">
        <f t="shared" si="0"/>
        <v>3.224246332419797</v>
      </c>
      <c r="C27" s="24">
        <v>46.744399999999999</v>
      </c>
      <c r="D27" s="24">
        <f t="shared" si="1"/>
        <v>3.844694462463512</v>
      </c>
      <c r="J27" s="7"/>
      <c r="K27" s="7"/>
      <c r="L27" s="7"/>
      <c r="M27" s="7"/>
      <c r="N27" s="7"/>
      <c r="O27" s="11"/>
      <c r="P27" s="7"/>
      <c r="Q27" s="7"/>
      <c r="R27" s="7"/>
    </row>
    <row r="28" spans="1:18" x14ac:dyDescent="0.25">
      <c r="A28" s="24">
        <v>37</v>
      </c>
      <c r="B28" s="27">
        <f t="shared" si="0"/>
        <v>3.224246332419797</v>
      </c>
      <c r="C28" s="24">
        <v>60.068700000000007</v>
      </c>
      <c r="D28" s="24">
        <f t="shared" si="1"/>
        <v>4.0954889072095462</v>
      </c>
      <c r="J28" s="7"/>
      <c r="K28" s="7"/>
      <c r="L28" s="7"/>
      <c r="M28" s="7"/>
      <c r="N28" s="7"/>
      <c r="O28" s="11"/>
      <c r="P28" s="7"/>
      <c r="Q28" s="7"/>
      <c r="R28" s="7"/>
    </row>
    <row r="29" spans="1:18" x14ac:dyDescent="0.25">
      <c r="A29" s="7">
        <v>38</v>
      </c>
      <c r="B29" s="11">
        <f t="shared" si="0"/>
        <v>3.213883978788366</v>
      </c>
      <c r="C29" s="7">
        <v>38.650100000000002</v>
      </c>
      <c r="D29" s="7">
        <f t="shared" si="1"/>
        <v>3.6545493623522054</v>
      </c>
      <c r="J29" s="7"/>
      <c r="K29" s="7"/>
      <c r="L29" s="7"/>
      <c r="M29" s="7"/>
      <c r="N29" s="7"/>
      <c r="O29" s="11"/>
      <c r="P29" s="7"/>
      <c r="Q29" s="7"/>
      <c r="R29" s="7"/>
    </row>
    <row r="30" spans="1:18" x14ac:dyDescent="0.25">
      <c r="A30" s="7">
        <v>38</v>
      </c>
      <c r="B30" s="11">
        <f t="shared" si="0"/>
        <v>3.213883978788366</v>
      </c>
      <c r="C30" s="7">
        <v>38.205100000000002</v>
      </c>
      <c r="D30" s="7">
        <f t="shared" si="1"/>
        <v>3.6429690145545526</v>
      </c>
      <c r="J30" s="7"/>
      <c r="K30" s="7"/>
      <c r="L30" s="7"/>
      <c r="M30" s="7"/>
      <c r="N30" s="7"/>
      <c r="O30" s="11"/>
      <c r="P30" s="7"/>
      <c r="Q30" s="7"/>
      <c r="R30" s="7"/>
    </row>
    <row r="31" spans="1:18" x14ac:dyDescent="0.25">
      <c r="A31" s="7">
        <v>38</v>
      </c>
      <c r="B31" s="11">
        <f t="shared" si="0"/>
        <v>3.213883978788366</v>
      </c>
      <c r="C31" s="7">
        <v>32.178799999999995</v>
      </c>
      <c r="D31" s="7">
        <f t="shared" si="1"/>
        <v>3.4713078506265522</v>
      </c>
      <c r="J31" s="7"/>
      <c r="K31" s="7"/>
      <c r="L31" s="7"/>
      <c r="M31" s="7"/>
      <c r="N31" s="7"/>
      <c r="O31" s="11"/>
      <c r="P31" s="7"/>
      <c r="Q31" s="7"/>
      <c r="R31" s="7"/>
    </row>
    <row r="32" spans="1:18" x14ac:dyDescent="0.25">
      <c r="A32" s="7">
        <v>38</v>
      </c>
      <c r="B32" s="11">
        <f t="shared" si="0"/>
        <v>3.213883978788366</v>
      </c>
      <c r="C32" s="7">
        <v>22.7028</v>
      </c>
      <c r="D32" s="7">
        <f t="shared" si="1"/>
        <v>3.1224882648982368</v>
      </c>
      <c r="J32" s="7"/>
      <c r="K32" s="7"/>
      <c r="L32" s="7"/>
      <c r="M32" s="7"/>
      <c r="N32" s="7"/>
      <c r="O32" s="11"/>
      <c r="P32" s="7"/>
      <c r="Q32" s="7"/>
      <c r="R32" s="7"/>
    </row>
    <row r="33" spans="1:18" x14ac:dyDescent="0.25">
      <c r="A33" s="7">
        <v>38</v>
      </c>
      <c r="B33" s="11">
        <f t="shared" si="0"/>
        <v>3.213883978788366</v>
      </c>
      <c r="C33" s="7">
        <v>16.776799999999998</v>
      </c>
      <c r="D33" s="7">
        <f t="shared" si="1"/>
        <v>2.8199969796347721</v>
      </c>
      <c r="J33" s="7"/>
      <c r="K33" s="7"/>
      <c r="L33" s="7"/>
      <c r="M33" s="7"/>
      <c r="N33" s="7"/>
      <c r="O33" s="11"/>
      <c r="P33" s="7"/>
      <c r="Q33" s="7"/>
      <c r="R33" s="7"/>
    </row>
    <row r="34" spans="1:18" x14ac:dyDescent="0.25">
      <c r="A34" s="24">
        <v>39</v>
      </c>
      <c r="B34" s="27">
        <f t="shared" si="0"/>
        <v>3.2035880185808105</v>
      </c>
      <c r="C34" s="24">
        <v>59.271000000000001</v>
      </c>
      <c r="D34" s="24">
        <f t="shared" si="1"/>
        <v>4.0821201475993778</v>
      </c>
      <c r="J34" s="7"/>
      <c r="K34" s="7"/>
      <c r="L34" s="7"/>
      <c r="M34" s="7"/>
      <c r="N34" s="7"/>
      <c r="O34" s="11"/>
      <c r="P34" s="7"/>
      <c r="Q34" s="7"/>
      <c r="R34" s="7"/>
    </row>
    <row r="35" spans="1:18" x14ac:dyDescent="0.25">
      <c r="A35" s="24">
        <v>39</v>
      </c>
      <c r="B35" s="27">
        <f t="shared" si="0"/>
        <v>3.2035880185808105</v>
      </c>
      <c r="C35" s="24">
        <v>27.610300000000002</v>
      </c>
      <c r="D35" s="24">
        <f t="shared" si="1"/>
        <v>3.3181888915114279</v>
      </c>
      <c r="J35" s="7"/>
      <c r="K35" s="7"/>
      <c r="L35" s="7"/>
      <c r="M35" s="7"/>
      <c r="N35" s="7"/>
      <c r="O35" s="11"/>
      <c r="P35" s="7"/>
      <c r="Q35" s="7"/>
      <c r="R35" s="7"/>
    </row>
    <row r="36" spans="1:18" x14ac:dyDescent="0.25">
      <c r="A36" s="24">
        <v>39</v>
      </c>
      <c r="B36" s="27">
        <f t="shared" si="0"/>
        <v>3.2035880185808105</v>
      </c>
      <c r="C36" s="24">
        <v>25.0991</v>
      </c>
      <c r="D36" s="24">
        <f t="shared" si="1"/>
        <v>3.2228319889211705</v>
      </c>
      <c r="J36" s="7"/>
      <c r="K36" s="7"/>
      <c r="L36" s="7"/>
      <c r="M36" s="7"/>
      <c r="N36" s="7"/>
      <c r="O36" s="11"/>
      <c r="P36" s="7"/>
      <c r="Q36" s="7"/>
      <c r="R36" s="7"/>
    </row>
    <row r="37" spans="1:18" x14ac:dyDescent="0.25">
      <c r="A37" s="24">
        <v>39</v>
      </c>
      <c r="B37" s="27">
        <f t="shared" si="0"/>
        <v>3.2035880185808105</v>
      </c>
      <c r="C37" s="24">
        <v>14.499199999999998</v>
      </c>
      <c r="D37" s="24">
        <f t="shared" si="1"/>
        <v>2.674093475490682</v>
      </c>
      <c r="F37" t="s">
        <v>13</v>
      </c>
      <c r="G37" s="7" t="s">
        <v>0</v>
      </c>
      <c r="H37" s="7" t="s">
        <v>3</v>
      </c>
      <c r="I37" s="7" t="s">
        <v>11</v>
      </c>
      <c r="J37" s="7" t="s">
        <v>15</v>
      </c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24">
        <v>39</v>
      </c>
      <c r="B38" s="27">
        <f t="shared" si="0"/>
        <v>3.2035880185808105</v>
      </c>
      <c r="C38" s="24">
        <v>25.295000000000002</v>
      </c>
      <c r="D38" s="24">
        <f t="shared" si="1"/>
        <v>3.2306067477438996</v>
      </c>
      <c r="F38">
        <v>29</v>
      </c>
      <c r="G38" s="17">
        <v>3.3096144299189145</v>
      </c>
      <c r="H38" s="8">
        <f>EXP(-1.7088*G38+9.0415)</f>
        <v>29.548437387154578</v>
      </c>
      <c r="I38">
        <f>AVERAGE(C4:C8)</f>
        <v>29.207879999999999</v>
      </c>
      <c r="J38" s="8">
        <f t="shared" ref="J38:J42" si="2">H38-I38</f>
        <v>0.34055738715457906</v>
      </c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>
        <v>40</v>
      </c>
      <c r="B39" s="11">
        <f t="shared" si="0"/>
        <v>3.1933578157432541</v>
      </c>
      <c r="C39" s="7">
        <v>34.741100000000003</v>
      </c>
      <c r="D39" s="7">
        <f t="shared" si="1"/>
        <v>3.5479234240998121</v>
      </c>
      <c r="F39">
        <v>31</v>
      </c>
      <c r="G39" s="17">
        <v>3.2878513891172121</v>
      </c>
      <c r="H39" s="8">
        <f t="shared" ref="H39:H52" si="3">EXP(-1.7088*G39+9.0415)</f>
        <v>30.66799327082386</v>
      </c>
      <c r="I39">
        <f>AVERAGE(C9:C13)</f>
        <v>29.111020000000003</v>
      </c>
      <c r="J39" s="8">
        <f t="shared" si="2"/>
        <v>1.5569732708238568</v>
      </c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>
        <v>40</v>
      </c>
      <c r="B40" s="11">
        <f t="shared" si="0"/>
        <v>3.1933578157432541</v>
      </c>
      <c r="C40" s="7">
        <v>37.830399999999997</v>
      </c>
      <c r="D40" s="7">
        <f t="shared" si="1"/>
        <v>3.6331130122078585</v>
      </c>
      <c r="F40">
        <v>33</v>
      </c>
      <c r="G40" s="17">
        <v>3.2663726931242856</v>
      </c>
      <c r="H40" s="8">
        <f t="shared" si="3"/>
        <v>31.814505767500417</v>
      </c>
      <c r="I40">
        <f>AVERAGE(C14:C18)</f>
        <v>29.943879999999996</v>
      </c>
      <c r="J40" s="8">
        <f t="shared" si="2"/>
        <v>1.870625767500421</v>
      </c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>
        <v>40</v>
      </c>
      <c r="B41" s="11">
        <f t="shared" si="0"/>
        <v>3.1933578157432541</v>
      </c>
      <c r="C41" s="7">
        <v>26.091699999999999</v>
      </c>
      <c r="D41" s="7">
        <f t="shared" si="1"/>
        <v>3.2616172560906533</v>
      </c>
      <c r="F41">
        <v>35</v>
      </c>
      <c r="G41" s="17">
        <v>3.2451728054518907</v>
      </c>
      <c r="H41" s="8">
        <f t="shared" si="3"/>
        <v>32.988160027574359</v>
      </c>
      <c r="I41">
        <f>AVERAGE(C19:C23)</f>
        <v>42.344859999999997</v>
      </c>
      <c r="J41" s="8">
        <f t="shared" si="2"/>
        <v>-9.3566999724256377</v>
      </c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>
        <v>40</v>
      </c>
      <c r="B42" s="11">
        <f t="shared" si="0"/>
        <v>3.1933578157432541</v>
      </c>
      <c r="C42" s="7">
        <v>28.141400000000001</v>
      </c>
      <c r="D42" s="7">
        <f t="shared" si="1"/>
        <v>3.3372418016924721</v>
      </c>
      <c r="F42">
        <v>37</v>
      </c>
      <c r="G42" s="17">
        <v>3.224246332419797</v>
      </c>
      <c r="H42" s="8">
        <f t="shared" si="3"/>
        <v>34.189133756375263</v>
      </c>
      <c r="I42">
        <f>AVERAGE(C24:C28)</f>
        <v>56.843699999999991</v>
      </c>
      <c r="J42" s="8">
        <f t="shared" si="2"/>
        <v>-22.654566243624728</v>
      </c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7">
        <v>40</v>
      </c>
      <c r="B43" s="11">
        <f t="shared" si="0"/>
        <v>3.1933578157432541</v>
      </c>
      <c r="C43" s="7">
        <v>40.4833</v>
      </c>
      <c r="D43" s="7">
        <f t="shared" si="1"/>
        <v>3.7008895433956241</v>
      </c>
      <c r="F43">
        <v>38</v>
      </c>
      <c r="G43" s="7">
        <v>3.21</v>
      </c>
      <c r="H43" s="8">
        <f t="shared" si="3"/>
        <v>35.031652151514571</v>
      </c>
      <c r="I43" s="8">
        <f>AVERAGE(C29:C33)</f>
        <v>29.702719999999999</v>
      </c>
      <c r="J43" s="8">
        <f>H43-I43</f>
        <v>5.3289321515145716</v>
      </c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24">
        <v>41</v>
      </c>
      <c r="B44" s="27">
        <f t="shared" si="0"/>
        <v>3.1831927423205477</v>
      </c>
      <c r="C44" s="24">
        <v>36.958999999999996</v>
      </c>
      <c r="D44" s="24">
        <f t="shared" si="1"/>
        <v>3.6098091901303992</v>
      </c>
      <c r="F44">
        <v>39</v>
      </c>
      <c r="G44" s="7">
        <v>3.2</v>
      </c>
      <c r="H44" s="8">
        <f t="shared" si="3"/>
        <v>35.635416897948708</v>
      </c>
      <c r="I44" s="8">
        <f>AVERAGE(C34:C38)</f>
        <v>30.354920000000003</v>
      </c>
      <c r="J44" s="8">
        <f t="shared" ref="J44:J52" si="4">H44-I44</f>
        <v>5.280496897948705</v>
      </c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24">
        <v>41</v>
      </c>
      <c r="B45" s="27">
        <f t="shared" si="0"/>
        <v>3.1831927423205477</v>
      </c>
      <c r="C45" s="24">
        <v>21.6767</v>
      </c>
      <c r="D45" s="24">
        <f t="shared" si="1"/>
        <v>3.0762379509635753</v>
      </c>
      <c r="F45">
        <v>40</v>
      </c>
      <c r="G45" s="7">
        <v>3.19</v>
      </c>
      <c r="H45" s="8">
        <f t="shared" si="3"/>
        <v>36.249587430197984</v>
      </c>
      <c r="I45" s="8">
        <f>AVERAGE(C39:C43)</f>
        <v>33.45758</v>
      </c>
      <c r="J45" s="8">
        <f t="shared" si="4"/>
        <v>2.7920074301979838</v>
      </c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24">
        <v>41</v>
      </c>
      <c r="B46" s="27">
        <f t="shared" si="0"/>
        <v>3.1831927423205477</v>
      </c>
      <c r="C46" s="24">
        <v>37.201300000000003</v>
      </c>
      <c r="D46" s="24">
        <f t="shared" si="1"/>
        <v>3.6163437069050546</v>
      </c>
      <c r="E46" s="7"/>
      <c r="F46">
        <v>41</v>
      </c>
      <c r="G46" s="7">
        <v>3.18</v>
      </c>
      <c r="H46" s="8">
        <f t="shared" si="3"/>
        <v>36.874343090264375</v>
      </c>
      <c r="I46" s="8">
        <f>AVERAGE(C44:C48)</f>
        <v>33.866419999999998</v>
      </c>
      <c r="J46" s="8">
        <f t="shared" si="4"/>
        <v>3.0079230902643772</v>
      </c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24">
        <v>41</v>
      </c>
      <c r="B47" s="27">
        <f t="shared" si="0"/>
        <v>3.1831927423205477</v>
      </c>
      <c r="C47" s="24">
        <v>38.267499999999998</v>
      </c>
      <c r="D47" s="24">
        <f t="shared" si="1"/>
        <v>3.6446009719837251</v>
      </c>
      <c r="E47" s="7"/>
      <c r="F47">
        <v>42</v>
      </c>
      <c r="G47" s="7">
        <v>3.17</v>
      </c>
      <c r="H47" s="8">
        <f t="shared" si="3"/>
        <v>37.509866311079911</v>
      </c>
      <c r="I47" s="8">
        <f>AVERAGE(C49:C53)</f>
        <v>38.101740000000007</v>
      </c>
      <c r="J47" s="8">
        <f t="shared" si="4"/>
        <v>-0.59187368892009573</v>
      </c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24">
        <v>41</v>
      </c>
      <c r="B48" s="27">
        <f t="shared" si="0"/>
        <v>3.1831927423205477</v>
      </c>
      <c r="C48" s="24">
        <v>35.227599999999995</v>
      </c>
      <c r="D48" s="24">
        <f t="shared" si="1"/>
        <v>3.561829866274457</v>
      </c>
      <c r="E48" s="7"/>
      <c r="F48">
        <v>43</v>
      </c>
      <c r="G48" s="7">
        <v>3.16</v>
      </c>
      <c r="H48" s="8">
        <f t="shared" si="3"/>
        <v>38.156342669777985</v>
      </c>
      <c r="I48" s="8">
        <f>AVERAGE(C54:C58)</f>
        <v>38.363839999999996</v>
      </c>
      <c r="J48" s="8">
        <f t="shared" si="4"/>
        <v>-0.20749733022201156</v>
      </c>
      <c r="K48" s="7"/>
      <c r="L48" s="7"/>
      <c r="M48" s="7"/>
      <c r="N48" s="7"/>
      <c r="O48" s="13"/>
      <c r="P48" s="7"/>
      <c r="Q48" s="7"/>
      <c r="R48" s="7"/>
    </row>
    <row r="49" spans="1:18" x14ac:dyDescent="0.25">
      <c r="A49" s="7">
        <v>42</v>
      </c>
      <c r="B49" s="11">
        <f t="shared" si="0"/>
        <v>3.1730921783277806</v>
      </c>
      <c r="C49" s="7">
        <v>43.906100000000002</v>
      </c>
      <c r="D49">
        <f t="shared" si="1"/>
        <v>3.7820532625921772</v>
      </c>
      <c r="E49" s="7"/>
      <c r="F49">
        <v>44</v>
      </c>
      <c r="G49" s="7">
        <v>3.15</v>
      </c>
      <c r="H49" s="8">
        <f t="shared" si="3"/>
        <v>38.813960941883316</v>
      </c>
      <c r="I49" s="8">
        <f>AVERAGE(C59:C63)</f>
        <v>32.731039999999993</v>
      </c>
      <c r="J49" s="8">
        <f t="shared" si="4"/>
        <v>6.082920941883323</v>
      </c>
      <c r="K49" s="7"/>
      <c r="L49" s="7"/>
      <c r="M49" s="7"/>
      <c r="N49" s="7"/>
      <c r="O49" s="13"/>
      <c r="P49" s="7"/>
      <c r="Q49" s="7"/>
      <c r="R49" s="7"/>
    </row>
    <row r="50" spans="1:18" x14ac:dyDescent="0.25">
      <c r="A50" s="7">
        <v>42</v>
      </c>
      <c r="B50" s="11">
        <f t="shared" si="0"/>
        <v>3.1730921783277806</v>
      </c>
      <c r="C50" s="7">
        <v>42.011300000000006</v>
      </c>
      <c r="D50">
        <f t="shared" si="1"/>
        <v>3.7379386297155959</v>
      </c>
      <c r="E50" s="7"/>
      <c r="F50">
        <v>45</v>
      </c>
      <c r="G50" s="7">
        <v>3.14</v>
      </c>
      <c r="H50" s="8">
        <f t="shared" si="3"/>
        <v>39.482913156435593</v>
      </c>
      <c r="I50" s="8">
        <f>AVERAGE(C64:C68)</f>
        <v>40.168780000000005</v>
      </c>
      <c r="J50" s="8">
        <f t="shared" si="4"/>
        <v>-0.68586684356441197</v>
      </c>
      <c r="K50" s="7"/>
      <c r="L50" s="7"/>
      <c r="M50" s="7"/>
      <c r="N50" s="7"/>
      <c r="O50" s="13"/>
      <c r="P50" s="7"/>
      <c r="Q50" s="7"/>
      <c r="R50" s="7"/>
    </row>
    <row r="51" spans="1:18" x14ac:dyDescent="0.25">
      <c r="A51" s="7">
        <v>42</v>
      </c>
      <c r="B51" s="11">
        <f t="shared" si="0"/>
        <v>3.1730921783277806</v>
      </c>
      <c r="C51" s="7">
        <v>15.621499999999999</v>
      </c>
      <c r="D51">
        <f t="shared" si="1"/>
        <v>2.7486481705307182</v>
      </c>
      <c r="E51" s="7"/>
      <c r="F51">
        <v>46</v>
      </c>
      <c r="G51" s="7">
        <v>3.13</v>
      </c>
      <c r="H51" s="8">
        <f t="shared" si="3"/>
        <v>40.163394652063459</v>
      </c>
      <c r="I51" s="8">
        <f>AVERAGE(C69:C73)</f>
        <v>30.051079999999995</v>
      </c>
      <c r="J51" s="8">
        <f t="shared" si="4"/>
        <v>10.112314652063464</v>
      </c>
      <c r="K51" s="7"/>
      <c r="L51" s="7"/>
      <c r="M51" s="7"/>
      <c r="N51" s="7"/>
      <c r="O51" s="13"/>
      <c r="P51" s="7"/>
      <c r="Q51" s="7"/>
      <c r="R51" s="7"/>
    </row>
    <row r="52" spans="1:18" x14ac:dyDescent="0.25">
      <c r="A52" s="7">
        <v>42</v>
      </c>
      <c r="B52" s="11">
        <f t="shared" si="0"/>
        <v>3.1730921783277806</v>
      </c>
      <c r="C52" s="7">
        <v>46.167200000000001</v>
      </c>
      <c r="D52">
        <f t="shared" si="1"/>
        <v>3.8322695892391261</v>
      </c>
      <c r="E52" s="7"/>
      <c r="F52">
        <v>47</v>
      </c>
      <c r="G52" s="7">
        <v>3.12</v>
      </c>
      <c r="H52" s="8">
        <f t="shared" si="3"/>
        <v>40.855604134024482</v>
      </c>
      <c r="I52" s="8">
        <f>AVERAGE(C74:C78)</f>
        <v>12.986140000000001</v>
      </c>
      <c r="J52" s="8">
        <f t="shared" si="4"/>
        <v>27.869464134024483</v>
      </c>
      <c r="K52" s="7"/>
      <c r="L52" s="7"/>
      <c r="M52" s="7"/>
      <c r="N52" s="7"/>
      <c r="O52" s="13"/>
      <c r="P52" s="7"/>
      <c r="Q52" s="7"/>
      <c r="R52" s="7"/>
    </row>
    <row r="53" spans="1:18" x14ac:dyDescent="0.25">
      <c r="A53" s="7">
        <v>42</v>
      </c>
      <c r="B53" s="11">
        <f t="shared" si="0"/>
        <v>3.1730921783277806</v>
      </c>
      <c r="C53" s="7">
        <v>42.802600000000005</v>
      </c>
      <c r="D53">
        <f t="shared" si="1"/>
        <v>3.756598848406238</v>
      </c>
      <c r="E53" s="7"/>
      <c r="F53" s="7"/>
      <c r="G53" s="7"/>
      <c r="H53" s="13"/>
      <c r="I53" s="7"/>
      <c r="J53" s="12"/>
      <c r="K53" s="7"/>
      <c r="L53" s="7"/>
      <c r="M53" s="7"/>
      <c r="N53" s="7"/>
      <c r="O53" s="13"/>
      <c r="P53" s="7"/>
      <c r="Q53" s="7"/>
      <c r="R53" s="7"/>
    </row>
    <row r="54" spans="1:18" x14ac:dyDescent="0.25">
      <c r="A54" s="24">
        <v>43</v>
      </c>
      <c r="B54" s="27">
        <f t="shared" si="0"/>
        <v>3.1630555116242292</v>
      </c>
      <c r="C54" s="24">
        <v>39.117800000000003</v>
      </c>
      <c r="D54" s="24">
        <f t="shared" si="1"/>
        <v>3.666577606366431</v>
      </c>
      <c r="E54" s="7"/>
      <c r="F54" s="7"/>
      <c r="G54" s="7"/>
      <c r="H54" s="13"/>
      <c r="I54" s="7"/>
      <c r="J54" s="12"/>
      <c r="K54" s="7"/>
      <c r="L54" s="7"/>
      <c r="M54" s="7"/>
      <c r="N54" s="7"/>
      <c r="O54" s="13"/>
      <c r="P54" s="7"/>
      <c r="Q54" s="7"/>
      <c r="R54" s="7"/>
    </row>
    <row r="55" spans="1:18" x14ac:dyDescent="0.25">
      <c r="A55" s="24">
        <v>43</v>
      </c>
      <c r="B55" s="27">
        <f t="shared" si="0"/>
        <v>3.1630555116242292</v>
      </c>
      <c r="C55" s="24">
        <v>49.558599999999998</v>
      </c>
      <c r="D55" s="24">
        <f t="shared" si="1"/>
        <v>3.9031558077743722</v>
      </c>
      <c r="E55" s="7"/>
      <c r="F55" s="7"/>
      <c r="G55" s="7"/>
      <c r="H55" s="13"/>
      <c r="I55" s="7"/>
      <c r="J55" s="12"/>
      <c r="K55" s="7"/>
      <c r="L55" s="7"/>
      <c r="M55" s="7"/>
      <c r="N55" s="7"/>
      <c r="O55" s="13"/>
      <c r="P55" s="7"/>
      <c r="Q55" s="7"/>
      <c r="R55" s="7"/>
    </row>
    <row r="56" spans="1:18" x14ac:dyDescent="0.25">
      <c r="A56" s="24">
        <v>43</v>
      </c>
      <c r="B56" s="27">
        <f t="shared" si="0"/>
        <v>3.1630555116242292</v>
      </c>
      <c r="C56" s="24">
        <v>38.144199999999998</v>
      </c>
      <c r="D56" s="24">
        <f t="shared" si="1"/>
        <v>3.6413737147177292</v>
      </c>
      <c r="E56" s="7"/>
      <c r="F56" s="7"/>
      <c r="G56" s="7"/>
      <c r="H56" s="13"/>
      <c r="I56" s="7"/>
      <c r="J56" s="12"/>
      <c r="K56" s="7"/>
      <c r="L56" s="7"/>
      <c r="M56" s="7"/>
      <c r="N56" s="7"/>
      <c r="O56" s="13"/>
      <c r="P56" s="7"/>
      <c r="Q56" s="7"/>
      <c r="R56" s="7"/>
    </row>
    <row r="57" spans="1:18" x14ac:dyDescent="0.25">
      <c r="A57" s="24">
        <v>43</v>
      </c>
      <c r="B57" s="27">
        <f t="shared" si="0"/>
        <v>3.1630555116242292</v>
      </c>
      <c r="C57" s="24">
        <v>39.750699999999995</v>
      </c>
      <c r="D57" s="24">
        <f t="shared" si="1"/>
        <v>3.6826274510081785</v>
      </c>
      <c r="E57" s="7"/>
      <c r="F57" s="7"/>
      <c r="G57" s="7"/>
      <c r="H57" s="13"/>
      <c r="I57" s="7"/>
      <c r="J57" s="12"/>
      <c r="K57" s="7"/>
      <c r="L57" s="7"/>
      <c r="M57" s="7"/>
      <c r="N57" s="7"/>
      <c r="O57" s="13"/>
      <c r="P57" s="7"/>
      <c r="Q57" s="7"/>
      <c r="R57" s="7"/>
    </row>
    <row r="58" spans="1:18" x14ac:dyDescent="0.25">
      <c r="A58" s="24">
        <v>43</v>
      </c>
      <c r="B58" s="27">
        <f t="shared" si="0"/>
        <v>3.1630555116242292</v>
      </c>
      <c r="C58" s="24">
        <v>25.247899999999998</v>
      </c>
      <c r="D58" s="24">
        <f t="shared" si="1"/>
        <v>3.2287429839458608</v>
      </c>
      <c r="E58" s="7"/>
      <c r="F58" s="7"/>
      <c r="G58" s="7"/>
      <c r="H58" s="13"/>
      <c r="I58" s="7"/>
      <c r="J58" s="12"/>
      <c r="K58" s="7"/>
      <c r="L58" s="7"/>
      <c r="M58" s="7"/>
      <c r="N58" s="7"/>
      <c r="O58" s="13"/>
      <c r="P58" s="7"/>
      <c r="Q58" s="7"/>
      <c r="R58" s="7"/>
    </row>
    <row r="59" spans="1:18" x14ac:dyDescent="0.25">
      <c r="A59" s="7">
        <v>44</v>
      </c>
      <c r="B59" s="11">
        <f t="shared" si="0"/>
        <v>3.1530821377896898</v>
      </c>
      <c r="C59" s="7">
        <v>14.023099999999999</v>
      </c>
      <c r="D59">
        <f t="shared" si="1"/>
        <v>2.6407059698607829</v>
      </c>
      <c r="E59" s="7"/>
      <c r="F59" s="7"/>
      <c r="G59" s="7"/>
      <c r="H59" s="13"/>
      <c r="I59" s="7"/>
      <c r="J59" s="12"/>
      <c r="K59" s="7"/>
      <c r="L59" s="7"/>
      <c r="M59" s="7"/>
      <c r="N59" s="7"/>
      <c r="O59" s="13"/>
      <c r="P59" s="7"/>
      <c r="Q59" s="7"/>
      <c r="R59" s="7"/>
    </row>
    <row r="60" spans="1:18" x14ac:dyDescent="0.25">
      <c r="A60" s="7">
        <v>44</v>
      </c>
      <c r="B60" s="11">
        <f t="shared" si="0"/>
        <v>3.1530821377896898</v>
      </c>
      <c r="C60" s="7">
        <v>16.456899999999997</v>
      </c>
      <c r="D60">
        <f t="shared" si="1"/>
        <v>2.800744842153148</v>
      </c>
      <c r="E60" s="7"/>
      <c r="F60" s="7"/>
      <c r="G60" s="7"/>
      <c r="H60" s="13"/>
      <c r="I60" s="7"/>
      <c r="J60" s="12"/>
      <c r="K60" s="7"/>
      <c r="L60" s="7"/>
      <c r="M60" s="7"/>
      <c r="N60" s="7"/>
      <c r="O60" s="13"/>
      <c r="P60" s="7"/>
      <c r="Q60" s="7"/>
      <c r="R60" s="7"/>
    </row>
    <row r="61" spans="1:18" x14ac:dyDescent="0.25">
      <c r="A61" s="7">
        <v>44</v>
      </c>
      <c r="B61" s="11">
        <f t="shared" si="0"/>
        <v>3.1530821377896898</v>
      </c>
      <c r="C61" s="7">
        <v>31.532999999999998</v>
      </c>
      <c r="D61">
        <f t="shared" si="1"/>
        <v>3.4510346165093271</v>
      </c>
      <c r="E61" s="7"/>
      <c r="F61" s="7"/>
      <c r="G61" s="7"/>
      <c r="H61" s="13"/>
      <c r="I61" s="7"/>
      <c r="J61" s="14"/>
      <c r="K61" s="7"/>
      <c r="L61" s="7"/>
      <c r="M61" s="7"/>
      <c r="N61" s="7"/>
      <c r="O61" s="13"/>
      <c r="P61" s="7"/>
      <c r="Q61" s="7"/>
      <c r="R61" s="7"/>
    </row>
    <row r="62" spans="1:18" x14ac:dyDescent="0.25">
      <c r="A62" s="7">
        <v>44</v>
      </c>
      <c r="B62" s="11">
        <f t="shared" si="0"/>
        <v>3.1530821377896898</v>
      </c>
      <c r="C62" s="7">
        <v>59.705199999999998</v>
      </c>
      <c r="D62">
        <f t="shared" si="1"/>
        <v>4.0894191187829367</v>
      </c>
      <c r="E62" s="7"/>
      <c r="F62" s="7"/>
      <c r="G62" s="7"/>
      <c r="H62" s="13"/>
      <c r="I62" s="7"/>
      <c r="J62" s="14"/>
      <c r="K62" s="7"/>
      <c r="L62" s="7"/>
      <c r="M62" s="7"/>
      <c r="N62" s="7"/>
      <c r="O62" s="13"/>
      <c r="P62" s="7"/>
      <c r="Q62" s="7"/>
      <c r="R62" s="7"/>
    </row>
    <row r="63" spans="1:18" x14ac:dyDescent="0.25">
      <c r="A63" s="7">
        <v>44</v>
      </c>
      <c r="B63" s="11">
        <f t="shared" si="0"/>
        <v>3.1530821377896898</v>
      </c>
      <c r="C63" s="7">
        <v>41.936999999999998</v>
      </c>
      <c r="D63">
        <f t="shared" si="1"/>
        <v>3.736168492157101</v>
      </c>
      <c r="E63" s="7"/>
      <c r="F63" s="7"/>
      <c r="G63" s="7"/>
      <c r="H63" s="13"/>
      <c r="I63" s="7"/>
      <c r="J63" s="14"/>
      <c r="K63" s="7"/>
      <c r="L63" s="7"/>
      <c r="M63" s="7"/>
      <c r="N63" s="7"/>
      <c r="O63" s="13"/>
      <c r="P63" s="7"/>
      <c r="Q63" s="7"/>
      <c r="R63" s="7"/>
    </row>
    <row r="64" spans="1:18" x14ac:dyDescent="0.25">
      <c r="A64" s="24">
        <v>45</v>
      </c>
      <c r="B64" s="27">
        <f t="shared" si="0"/>
        <v>3.1431714600031433</v>
      </c>
      <c r="C64" s="24">
        <v>44.778400000000005</v>
      </c>
      <c r="D64" s="24">
        <f t="shared" si="1"/>
        <v>3.8017258802955558</v>
      </c>
      <c r="E64" s="7"/>
      <c r="F64" s="7"/>
      <c r="G64" s="7"/>
      <c r="H64" s="13"/>
      <c r="I64" s="7"/>
      <c r="J64" s="14"/>
      <c r="K64" s="7"/>
      <c r="L64" s="7"/>
      <c r="M64" s="7"/>
      <c r="N64" s="7"/>
      <c r="O64" s="13"/>
      <c r="P64" s="7"/>
      <c r="Q64" s="7"/>
      <c r="R64" s="7"/>
    </row>
    <row r="65" spans="1:18" x14ac:dyDescent="0.25">
      <c r="A65" s="24">
        <v>45</v>
      </c>
      <c r="B65" s="27">
        <f t="shared" si="0"/>
        <v>3.1431714600031433</v>
      </c>
      <c r="C65" s="24">
        <v>41.878900000000002</v>
      </c>
      <c r="D65" s="24">
        <f t="shared" si="1"/>
        <v>3.7347821201368565</v>
      </c>
      <c r="E65" s="7"/>
      <c r="F65" s="8"/>
      <c r="G65" s="7"/>
      <c r="H65" s="13"/>
      <c r="I65" s="7"/>
      <c r="J65" s="14"/>
      <c r="K65" s="7"/>
      <c r="L65" s="7"/>
      <c r="M65" s="7"/>
      <c r="N65" s="7"/>
      <c r="O65" s="13"/>
      <c r="P65" s="7"/>
      <c r="Q65" s="7"/>
      <c r="R65" s="7"/>
    </row>
    <row r="66" spans="1:18" x14ac:dyDescent="0.25">
      <c r="A66" s="24">
        <v>45</v>
      </c>
      <c r="B66" s="27">
        <f t="shared" si="0"/>
        <v>3.1431714600031433</v>
      </c>
      <c r="C66" s="24">
        <v>37.86</v>
      </c>
      <c r="D66" s="24">
        <f t="shared" si="1"/>
        <v>3.6338951457811768</v>
      </c>
      <c r="E66" s="7"/>
      <c r="F66" s="7"/>
      <c r="G66" s="7"/>
      <c r="H66" s="13"/>
      <c r="I66" s="7"/>
      <c r="J66" s="14"/>
      <c r="K66" s="7"/>
      <c r="L66" s="7"/>
      <c r="M66" s="7"/>
      <c r="N66" s="7"/>
      <c r="O66" s="13"/>
      <c r="P66" s="7"/>
      <c r="Q66" s="7"/>
      <c r="R66" s="7"/>
    </row>
    <row r="67" spans="1:18" x14ac:dyDescent="0.25">
      <c r="A67" s="24">
        <v>45</v>
      </c>
      <c r="B67" s="27">
        <f t="shared" si="0"/>
        <v>3.1431714600031433</v>
      </c>
      <c r="C67" s="24">
        <v>28.543800000000001</v>
      </c>
      <c r="D67" s="24">
        <f t="shared" si="1"/>
        <v>3.3514397496465942</v>
      </c>
      <c r="E67" s="7"/>
      <c r="F67" s="7"/>
      <c r="G67" s="7"/>
      <c r="H67" s="13"/>
      <c r="I67" s="7"/>
      <c r="J67" s="14"/>
      <c r="K67" s="7"/>
      <c r="L67" s="7"/>
      <c r="M67" s="7"/>
      <c r="N67" s="7"/>
      <c r="O67" s="13"/>
      <c r="P67" s="7"/>
      <c r="Q67" s="7"/>
      <c r="R67" s="7"/>
    </row>
    <row r="68" spans="1:18" x14ac:dyDescent="0.25">
      <c r="A68" s="24">
        <v>45</v>
      </c>
      <c r="B68" s="27">
        <f t="shared" si="0"/>
        <v>3.1431714600031433</v>
      </c>
      <c r="C68" s="24">
        <v>47.782800000000002</v>
      </c>
      <c r="D68" s="24">
        <f t="shared" si="1"/>
        <v>3.8666657421061297</v>
      </c>
      <c r="E68" s="7"/>
      <c r="F68" s="8"/>
      <c r="G68" s="7"/>
      <c r="H68" s="13"/>
      <c r="I68" s="7"/>
      <c r="J68" s="14"/>
      <c r="K68" s="7"/>
      <c r="L68" s="7"/>
      <c r="M68" s="7"/>
      <c r="N68" s="7"/>
      <c r="O68" s="13"/>
      <c r="P68" s="7"/>
      <c r="Q68" s="7"/>
      <c r="R68" s="7"/>
    </row>
    <row r="69" spans="1:18" x14ac:dyDescent="0.25">
      <c r="A69" s="7">
        <v>46</v>
      </c>
      <c r="B69" s="11">
        <f t="shared" ref="B69:B78" si="5">1000/(273.15+A69)</f>
        <v>3.1333228889237037</v>
      </c>
      <c r="C69" s="7">
        <v>23.642499999999998</v>
      </c>
      <c r="D69">
        <f t="shared" ref="D69:D78" si="6">LN(C69)</f>
        <v>3.1630459399075299</v>
      </c>
      <c r="E69" s="7"/>
      <c r="F69" s="7"/>
      <c r="G69" s="7"/>
      <c r="H69" s="13"/>
      <c r="I69" s="7"/>
      <c r="J69" s="14"/>
      <c r="K69" s="7"/>
      <c r="L69" s="7"/>
      <c r="M69" s="7"/>
      <c r="N69" s="7"/>
      <c r="O69" s="13"/>
      <c r="P69" s="7"/>
      <c r="Q69" s="7"/>
      <c r="R69" s="7"/>
    </row>
    <row r="70" spans="1:18" x14ac:dyDescent="0.25">
      <c r="A70" s="7">
        <v>46</v>
      </c>
      <c r="B70" s="11">
        <f t="shared" si="5"/>
        <v>3.1333228889237037</v>
      </c>
      <c r="C70" s="7">
        <v>24.5869</v>
      </c>
      <c r="D70">
        <f t="shared" si="6"/>
        <v>3.2022137807738082</v>
      </c>
      <c r="E70" s="7"/>
      <c r="F70" s="7"/>
      <c r="G70" s="7"/>
      <c r="H70" s="13"/>
      <c r="I70" s="7"/>
      <c r="J70" s="14"/>
      <c r="K70" s="7"/>
      <c r="L70" s="7"/>
      <c r="M70" s="7"/>
      <c r="N70" s="7"/>
      <c r="O70" s="7"/>
      <c r="P70" s="7"/>
      <c r="Q70" s="7"/>
      <c r="R70" s="7"/>
    </row>
    <row r="71" spans="1:18" x14ac:dyDescent="0.25">
      <c r="A71" s="7">
        <v>46</v>
      </c>
      <c r="B71" s="11">
        <f t="shared" si="5"/>
        <v>3.1333228889237037</v>
      </c>
      <c r="C71" s="7">
        <v>26.577000000000002</v>
      </c>
      <c r="D71">
        <f t="shared" si="6"/>
        <v>3.280046180098005</v>
      </c>
      <c r="E71" s="7"/>
      <c r="F71" s="8"/>
      <c r="G71" s="7"/>
      <c r="H71" s="13"/>
      <c r="I71" s="7"/>
      <c r="J71" s="14"/>
      <c r="K71" s="7"/>
      <c r="L71" s="7"/>
      <c r="M71" s="7"/>
      <c r="N71" s="7"/>
      <c r="O71" s="7"/>
      <c r="P71" s="7"/>
      <c r="Q71" s="7"/>
      <c r="R71" s="7"/>
    </row>
    <row r="72" spans="1:18" x14ac:dyDescent="0.25">
      <c r="A72" s="7">
        <v>46</v>
      </c>
      <c r="B72" s="11">
        <f t="shared" si="5"/>
        <v>3.1333228889237037</v>
      </c>
      <c r="C72">
        <v>36.635899999999999</v>
      </c>
      <c r="D72">
        <f t="shared" si="6"/>
        <v>3.6010286339813873</v>
      </c>
      <c r="E72" s="7"/>
      <c r="F72" s="7"/>
      <c r="G72" s="7"/>
      <c r="H72" s="13"/>
      <c r="I72" s="7"/>
      <c r="J72" s="14"/>
      <c r="K72" s="7"/>
      <c r="L72" s="7"/>
      <c r="M72" s="7"/>
      <c r="N72" s="7"/>
      <c r="O72" s="7"/>
      <c r="P72" s="7"/>
      <c r="Q72" s="7"/>
      <c r="R72" s="7"/>
    </row>
    <row r="73" spans="1:18" x14ac:dyDescent="0.25">
      <c r="A73" s="7">
        <v>46</v>
      </c>
      <c r="B73" s="11">
        <f t="shared" si="5"/>
        <v>3.1333228889237037</v>
      </c>
      <c r="C73">
        <v>38.813099999999999</v>
      </c>
      <c r="D73">
        <f t="shared" si="6"/>
        <v>3.6587578185114076</v>
      </c>
      <c r="E73" s="7"/>
      <c r="F73" s="7"/>
      <c r="G73" s="7"/>
      <c r="H73" s="13"/>
      <c r="I73" s="7"/>
      <c r="J73" s="14"/>
      <c r="K73" s="7"/>
      <c r="L73" s="7"/>
      <c r="M73" s="7"/>
      <c r="N73" s="7"/>
      <c r="O73" s="7"/>
      <c r="P73" s="7"/>
      <c r="Q73" s="7"/>
      <c r="R73" s="7"/>
    </row>
    <row r="74" spans="1:18" x14ac:dyDescent="0.25">
      <c r="A74" s="24">
        <v>47</v>
      </c>
      <c r="B74" s="27">
        <f t="shared" si="5"/>
        <v>3.1235358425737938</v>
      </c>
      <c r="C74" s="24">
        <v>20.8628</v>
      </c>
      <c r="D74" s="24">
        <f t="shared" si="6"/>
        <v>3.0379676687527488</v>
      </c>
      <c r="E74" s="7"/>
      <c r="F74" s="7"/>
      <c r="G74" s="7"/>
      <c r="H74" s="13"/>
      <c r="I74" s="7"/>
      <c r="J74" s="14"/>
      <c r="K74" s="7"/>
      <c r="L74" s="7"/>
      <c r="M74" s="7"/>
      <c r="N74" s="7"/>
      <c r="O74" s="7"/>
      <c r="P74" s="7"/>
      <c r="Q74" s="7"/>
      <c r="R74" s="7"/>
    </row>
    <row r="75" spans="1:18" x14ac:dyDescent="0.25">
      <c r="A75" s="24">
        <v>47</v>
      </c>
      <c r="B75" s="27">
        <f t="shared" si="5"/>
        <v>3.1235358425737938</v>
      </c>
      <c r="C75" s="24">
        <v>15.456800000000001</v>
      </c>
      <c r="D75" s="24">
        <f t="shared" si="6"/>
        <v>2.7380490359650369</v>
      </c>
      <c r="E75" s="7"/>
      <c r="F75" s="7"/>
      <c r="G75" s="7"/>
      <c r="H75" s="13"/>
      <c r="I75" s="7"/>
      <c r="J75" s="14"/>
      <c r="K75" s="7"/>
      <c r="L75" s="7"/>
      <c r="M75" s="7"/>
      <c r="N75" s="7"/>
      <c r="O75" s="7"/>
      <c r="P75" s="7"/>
      <c r="Q75" s="7"/>
      <c r="R75" s="7"/>
    </row>
    <row r="76" spans="1:18" x14ac:dyDescent="0.25">
      <c r="A76" s="24">
        <v>47</v>
      </c>
      <c r="B76" s="27">
        <f t="shared" si="5"/>
        <v>3.1235358425737938</v>
      </c>
      <c r="C76" s="24">
        <v>10.139800000000001</v>
      </c>
      <c r="D76" s="24">
        <f t="shared" si="6"/>
        <v>2.3164682741026414</v>
      </c>
      <c r="E76" s="7"/>
      <c r="F76" s="7"/>
      <c r="G76" s="7"/>
      <c r="H76" s="13"/>
      <c r="I76" s="7"/>
      <c r="J76" s="14"/>
      <c r="K76" s="7"/>
      <c r="L76" s="7"/>
      <c r="M76" s="7"/>
      <c r="N76" s="7"/>
      <c r="O76" s="7"/>
      <c r="P76" s="7"/>
      <c r="Q76" s="7"/>
      <c r="R76" s="7"/>
    </row>
    <row r="77" spans="1:18" x14ac:dyDescent="0.25">
      <c r="A77" s="24">
        <v>47</v>
      </c>
      <c r="B77" s="27">
        <f t="shared" si="5"/>
        <v>3.1235358425737938</v>
      </c>
      <c r="C77" s="24">
        <v>7.5989999999999993</v>
      </c>
      <c r="D77" s="24">
        <f t="shared" si="6"/>
        <v>2.0280166596876477</v>
      </c>
      <c r="E77" s="7"/>
      <c r="F77" s="7"/>
      <c r="G77" s="7"/>
      <c r="H77" s="13"/>
      <c r="I77" s="7"/>
      <c r="J77" s="15"/>
      <c r="K77" s="7"/>
      <c r="L77" s="7"/>
      <c r="M77" s="7"/>
      <c r="N77" s="7"/>
      <c r="O77" s="7"/>
      <c r="P77" s="7"/>
      <c r="Q77" s="7"/>
      <c r="R77" s="7"/>
    </row>
    <row r="78" spans="1:18" x14ac:dyDescent="0.25">
      <c r="A78" s="24">
        <v>47</v>
      </c>
      <c r="B78" s="27">
        <f t="shared" si="5"/>
        <v>3.1235358425737938</v>
      </c>
      <c r="C78" s="24">
        <v>10.872299999999999</v>
      </c>
      <c r="D78" s="24">
        <f t="shared" si="6"/>
        <v>2.3862182702871246</v>
      </c>
      <c r="E78" s="7"/>
      <c r="F78" s="7"/>
      <c r="G78" s="7"/>
      <c r="H78" s="13"/>
      <c r="I78" s="7"/>
      <c r="J78" s="15"/>
      <c r="K78" s="7"/>
      <c r="L78" s="7"/>
      <c r="M78" s="7"/>
      <c r="N78" s="7"/>
      <c r="O78" s="7"/>
      <c r="P78" s="7"/>
      <c r="Q78" s="7"/>
      <c r="R78" s="7"/>
    </row>
    <row r="79" spans="1:18" x14ac:dyDescent="0.25">
      <c r="E79" s="7"/>
      <c r="F79" s="7"/>
      <c r="G79" s="7"/>
      <c r="H79" s="13"/>
      <c r="I79" s="7"/>
      <c r="J79" s="15"/>
      <c r="K79" s="7"/>
      <c r="L79" s="7"/>
      <c r="M79" s="7"/>
      <c r="N79" s="7"/>
      <c r="O79" s="7"/>
      <c r="P79" s="7"/>
      <c r="Q79" s="7"/>
      <c r="R79" s="7"/>
    </row>
    <row r="80" spans="1:18" x14ac:dyDescent="0.25">
      <c r="E80" s="7"/>
      <c r="F80" s="7"/>
      <c r="G80" s="7"/>
      <c r="H80" s="13"/>
      <c r="I80" s="7"/>
      <c r="J80" s="15"/>
      <c r="K80" s="7"/>
      <c r="L80" s="7"/>
      <c r="M80" s="7"/>
      <c r="N80" s="7"/>
      <c r="O80" s="7"/>
      <c r="P80" s="7"/>
      <c r="Q80" s="7"/>
      <c r="R80" s="7"/>
    </row>
    <row r="81" spans="5:18" x14ac:dyDescent="0.25">
      <c r="E81" s="7"/>
      <c r="F81" s="7"/>
      <c r="G81" s="7"/>
      <c r="H81" s="13"/>
      <c r="I81" s="7"/>
      <c r="J81" s="15"/>
      <c r="K81" s="7"/>
      <c r="L81" s="7"/>
      <c r="M81" s="7"/>
      <c r="N81" s="7"/>
      <c r="O81" s="7"/>
      <c r="P81" s="7"/>
      <c r="Q81" s="7"/>
      <c r="R81" s="7"/>
    </row>
    <row r="82" spans="5:18" x14ac:dyDescent="0.25">
      <c r="E82" s="7"/>
      <c r="F82" s="7"/>
      <c r="G82" s="7"/>
      <c r="H82" s="13"/>
      <c r="I82" s="7"/>
      <c r="J82" s="15"/>
      <c r="K82" s="7"/>
      <c r="L82" s="7"/>
      <c r="M82" s="7"/>
      <c r="N82" s="7"/>
      <c r="O82" s="7"/>
      <c r="P82" s="7"/>
      <c r="Q82" s="7"/>
      <c r="R82" s="7"/>
    </row>
    <row r="83" spans="5:18" x14ac:dyDescent="0.25">
      <c r="E83" s="7"/>
      <c r="F83" s="7"/>
      <c r="G83" s="7"/>
      <c r="H83" s="13"/>
      <c r="I83" s="7"/>
      <c r="J83" s="15"/>
      <c r="K83" s="7"/>
      <c r="L83" s="7"/>
      <c r="M83" s="7"/>
      <c r="N83" s="7"/>
      <c r="O83" s="7"/>
      <c r="P83" s="7"/>
      <c r="Q83" s="7"/>
      <c r="R83" s="7"/>
    </row>
    <row r="84" spans="5:18" x14ac:dyDescent="0.25">
      <c r="E84" s="7"/>
      <c r="F84" s="7"/>
      <c r="G84" s="7"/>
      <c r="H84" s="13"/>
      <c r="I84" s="7"/>
      <c r="J84" s="15"/>
      <c r="K84" s="7"/>
      <c r="L84" s="7"/>
      <c r="M84" s="7"/>
      <c r="N84" s="7"/>
      <c r="O84" s="7"/>
      <c r="P84" s="7"/>
      <c r="Q84" s="7"/>
      <c r="R84" s="7"/>
    </row>
    <row r="85" spans="5:18" x14ac:dyDescent="0.25">
      <c r="E85" s="7"/>
      <c r="F85" s="7"/>
      <c r="G85" s="7"/>
      <c r="H85" s="13"/>
      <c r="I85" s="7"/>
      <c r="J85" s="15"/>
      <c r="K85" s="7"/>
      <c r="L85" s="7"/>
      <c r="M85" s="7"/>
      <c r="N85" s="7"/>
      <c r="O85" s="7"/>
      <c r="P85" s="7"/>
      <c r="Q85" s="7"/>
      <c r="R85" s="7"/>
    </row>
    <row r="86" spans="5:18" x14ac:dyDescent="0.25">
      <c r="E86" s="7"/>
      <c r="F86" s="7"/>
      <c r="G86" s="7"/>
      <c r="H86" s="13"/>
      <c r="I86" s="7"/>
      <c r="J86" s="15"/>
      <c r="K86" s="7"/>
      <c r="L86" s="7"/>
      <c r="M86" s="7"/>
      <c r="N86" s="7"/>
      <c r="O86" s="7"/>
      <c r="P86" s="7"/>
      <c r="Q86" s="7"/>
      <c r="R86" s="7"/>
    </row>
    <row r="87" spans="5:18" x14ac:dyDescent="0.25">
      <c r="E87" s="7"/>
      <c r="F87" s="7"/>
      <c r="G87" s="7"/>
      <c r="H87" s="13"/>
      <c r="I87" s="7"/>
      <c r="J87" s="15"/>
      <c r="K87" s="7"/>
      <c r="L87" s="7"/>
      <c r="M87" s="7"/>
      <c r="N87" s="7"/>
      <c r="O87" s="7"/>
      <c r="P87" s="7"/>
      <c r="Q87" s="7"/>
      <c r="R87" s="7"/>
    </row>
    <row r="88" spans="5:18" x14ac:dyDescent="0.25">
      <c r="E88" s="7"/>
      <c r="F88" s="7"/>
      <c r="G88" s="7"/>
      <c r="H88" s="13"/>
      <c r="I88" s="7"/>
      <c r="J88" s="15"/>
      <c r="K88" s="7"/>
      <c r="L88" s="7"/>
      <c r="M88" s="7"/>
      <c r="N88" s="7"/>
      <c r="O88" s="7"/>
      <c r="P88" s="7"/>
      <c r="Q88" s="7"/>
      <c r="R88" s="7"/>
    </row>
    <row r="89" spans="5:18" x14ac:dyDescent="0.25">
      <c r="E89" s="7"/>
      <c r="F89" s="7"/>
      <c r="G89" s="7"/>
      <c r="H89" s="13"/>
      <c r="I89" s="7"/>
      <c r="J89" s="15"/>
      <c r="K89" s="7"/>
      <c r="L89" s="7"/>
      <c r="M89" s="7"/>
      <c r="N89" s="7"/>
      <c r="O89" s="7"/>
      <c r="P89" s="7"/>
      <c r="Q89" s="7"/>
      <c r="R89" s="7"/>
    </row>
    <row r="90" spans="5:18" x14ac:dyDescent="0.25"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5:18" x14ac:dyDescent="0.25"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5:18" x14ac:dyDescent="0.25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5:18" x14ac:dyDescent="0.25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5:18" x14ac:dyDescent="0.25">
      <c r="J94" s="7"/>
      <c r="K94" s="7"/>
      <c r="L94" s="7"/>
      <c r="M94" s="7"/>
      <c r="N94" s="7"/>
      <c r="O94" s="7"/>
      <c r="P94" s="7"/>
      <c r="Q94" s="7"/>
      <c r="R94" s="7"/>
    </row>
    <row r="95" spans="5:18" x14ac:dyDescent="0.25">
      <c r="J95" s="7"/>
      <c r="K95" s="7"/>
      <c r="L95" s="7"/>
      <c r="M95" s="7"/>
      <c r="N95" s="7"/>
      <c r="O95" s="7"/>
      <c r="P95" s="7"/>
      <c r="Q95" s="7"/>
      <c r="R95" s="7"/>
    </row>
    <row r="96" spans="5:18" x14ac:dyDescent="0.25">
      <c r="J96" s="7"/>
      <c r="K96" s="7"/>
      <c r="L96" s="7"/>
      <c r="M96" s="7"/>
      <c r="N96" s="7"/>
      <c r="O96" s="7"/>
      <c r="P96" s="7"/>
      <c r="Q96" s="7"/>
      <c r="R96" s="7"/>
    </row>
    <row r="97" spans="10:18" x14ac:dyDescent="0.25">
      <c r="J97" s="7"/>
      <c r="K97" s="7"/>
      <c r="L97" s="7"/>
      <c r="M97" s="7"/>
      <c r="N97" s="7"/>
      <c r="O97" s="7"/>
      <c r="P97" s="7"/>
      <c r="Q97" s="7"/>
      <c r="R97" s="7"/>
    </row>
    <row r="98" spans="10:18" x14ac:dyDescent="0.25">
      <c r="J98" s="7"/>
      <c r="K98" s="7"/>
      <c r="L98" s="7"/>
      <c r="M98" s="7"/>
      <c r="N98" s="7"/>
      <c r="O98" s="7"/>
      <c r="P98" s="7"/>
      <c r="Q98" s="7"/>
      <c r="R98" s="7"/>
    </row>
    <row r="99" spans="10:18" x14ac:dyDescent="0.25">
      <c r="J99" s="7"/>
      <c r="K99" s="7"/>
      <c r="L99" s="7"/>
      <c r="M99" s="7"/>
      <c r="N99" s="7"/>
      <c r="O99" s="7"/>
      <c r="P99" s="7"/>
      <c r="Q99" s="7"/>
      <c r="R99" s="7"/>
    </row>
    <row r="100" spans="10:18" x14ac:dyDescent="0.25">
      <c r="J100" s="7"/>
      <c r="K100" s="7"/>
      <c r="L100" s="7"/>
      <c r="M100" s="7"/>
      <c r="N100" s="7"/>
      <c r="O100" s="7"/>
      <c r="P100" s="7"/>
      <c r="Q100" s="7"/>
      <c r="R100" s="7"/>
    </row>
    <row r="101" spans="10:18" x14ac:dyDescent="0.25">
      <c r="J101" s="7"/>
      <c r="K101" s="7"/>
      <c r="L101" s="7"/>
      <c r="M101" s="7"/>
      <c r="N101" s="7"/>
      <c r="O101" s="7"/>
      <c r="P101" s="7"/>
      <c r="Q101" s="7"/>
      <c r="R101" s="7"/>
    </row>
    <row r="102" spans="10:18" x14ac:dyDescent="0.25">
      <c r="J102" s="7"/>
      <c r="K102" s="7"/>
      <c r="L102" s="7"/>
      <c r="M102" s="7"/>
      <c r="N102" s="7"/>
      <c r="O102" s="7"/>
      <c r="P102" s="7"/>
      <c r="Q102" s="7"/>
      <c r="R102" s="7"/>
    </row>
    <row r="103" spans="10:18" x14ac:dyDescent="0.25">
      <c r="J103" s="7"/>
      <c r="K103" s="7"/>
      <c r="L103" s="7"/>
      <c r="M103" s="7"/>
      <c r="N103" s="7"/>
      <c r="O103" s="7"/>
      <c r="P103" s="7"/>
      <c r="Q103" s="7"/>
      <c r="R103" s="7"/>
    </row>
    <row r="123" spans="10:10" x14ac:dyDescent="0.25">
      <c r="J123" s="6"/>
    </row>
    <row r="124" spans="10:10" x14ac:dyDescent="0.25">
      <c r="J124" s="6"/>
    </row>
    <row r="125" spans="10:10" x14ac:dyDescent="0.25">
      <c r="J125" s="6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</sheetData>
  <conditionalFormatting sqref="J79">
    <cfRule type="cellIs" dxfId="1" priority="2" operator="between">
      <formula>$I79*0.0000001+$I79</formula>
      <formula>$I79-0.0000001*$I79</formula>
    </cfRule>
  </conditionalFormatting>
  <conditionalFormatting sqref="J80:J89">
    <cfRule type="cellIs" dxfId="0" priority="1" operator="between">
      <formula>$I80*0.001+$I80</formula>
      <formula>$I80-0.001*$I80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zoomScaleNormal="100" workbookViewId="0"/>
  </sheetViews>
  <sheetFormatPr defaultColWidth="11.42578125" defaultRowHeight="15" x14ac:dyDescent="0.25"/>
  <cols>
    <col min="1" max="1" width="16.42578125" bestFit="1" customWidth="1"/>
    <col min="2" max="2" width="17.7109375" bestFit="1" customWidth="1"/>
    <col min="3" max="3" width="12" bestFit="1" customWidth="1"/>
    <col min="4" max="4" width="13.140625" bestFit="1" customWidth="1"/>
    <col min="5" max="5" width="19.7109375" customWidth="1"/>
    <col min="6" max="6" width="10.5703125" bestFit="1" customWidth="1"/>
    <col min="8" max="8" width="16.42578125" bestFit="1" customWidth="1"/>
    <col min="9" max="9" width="22.5703125" bestFit="1" customWidth="1"/>
    <col min="10" max="10" width="17.7109375" bestFit="1" customWidth="1"/>
    <col min="11" max="11" width="12" bestFit="1" customWidth="1"/>
    <col min="12" max="12" width="12.7109375" bestFit="1" customWidth="1"/>
    <col min="13" max="13" width="20.85546875" customWidth="1"/>
    <col min="14" max="14" width="10.5703125" bestFit="1" customWidth="1"/>
  </cols>
  <sheetData>
    <row r="1" spans="1:14" ht="21" customHeight="1" x14ac:dyDescent="0.3">
      <c r="A1" s="22" t="s">
        <v>23</v>
      </c>
    </row>
    <row r="2" spans="1:14" ht="18.75" x14ac:dyDescent="0.3">
      <c r="A2" s="22"/>
    </row>
    <row r="3" spans="1:14" ht="18.75" x14ac:dyDescent="0.3">
      <c r="B3" s="23" t="s">
        <v>18</v>
      </c>
      <c r="D3" s="19"/>
      <c r="J3" s="23" t="s">
        <v>19</v>
      </c>
    </row>
    <row r="4" spans="1:14" x14ac:dyDescent="0.25">
      <c r="A4" s="1" t="s">
        <v>13</v>
      </c>
      <c r="B4" s="1" t="s">
        <v>7</v>
      </c>
      <c r="C4" s="1" t="s">
        <v>3</v>
      </c>
      <c r="D4" s="1" t="s">
        <v>6</v>
      </c>
      <c r="E4" s="21" t="s">
        <v>20</v>
      </c>
      <c r="F4" s="20" t="s">
        <v>22</v>
      </c>
      <c r="G4" s="1"/>
      <c r="H4" s="1" t="s">
        <v>13</v>
      </c>
      <c r="I4" s="1" t="s">
        <v>8</v>
      </c>
      <c r="J4" s="20" t="s">
        <v>1</v>
      </c>
      <c r="K4" s="1" t="s">
        <v>3</v>
      </c>
      <c r="L4" s="1" t="s">
        <v>9</v>
      </c>
      <c r="M4" s="21" t="s">
        <v>21</v>
      </c>
      <c r="N4" s="20" t="s">
        <v>22</v>
      </c>
    </row>
    <row r="5" spans="1:14" x14ac:dyDescent="0.25">
      <c r="A5">
        <v>29</v>
      </c>
      <c r="B5" s="18">
        <f>'Intact cells'!$D4</f>
        <v>2.7775638258625248</v>
      </c>
      <c r="C5">
        <v>16.600633223717956</v>
      </c>
      <c r="D5">
        <f>LN(C5)</f>
        <v>2.809440840642063</v>
      </c>
      <c r="E5" s="3">
        <f>D5-B5</f>
        <v>3.1877014779538193E-2</v>
      </c>
      <c r="F5" s="3">
        <f>B5-D5</f>
        <v>-3.1877014779538193E-2</v>
      </c>
      <c r="H5">
        <v>29</v>
      </c>
      <c r="I5" s="7">
        <v>26.585799999999999</v>
      </c>
      <c r="J5" s="3">
        <f>LN(I5)</f>
        <v>3.2803772386607735</v>
      </c>
      <c r="K5">
        <v>29.548437387154578</v>
      </c>
      <c r="L5">
        <f>LN(K5)</f>
        <v>3.3860308621545574</v>
      </c>
      <c r="M5" s="3">
        <f>L5-J5</f>
        <v>0.10565362349378393</v>
      </c>
      <c r="N5" s="3">
        <f>J5-L5</f>
        <v>-0.10565362349378393</v>
      </c>
    </row>
    <row r="6" spans="1:14" x14ac:dyDescent="0.25">
      <c r="A6">
        <v>29</v>
      </c>
      <c r="B6" s="18">
        <f>'Intact cells'!$D5</f>
        <v>2.5873353719361543</v>
      </c>
      <c r="C6">
        <v>16.600633223717956</v>
      </c>
      <c r="D6">
        <f t="shared" ref="D6:D69" si="0">LN(C6)</f>
        <v>2.809440840642063</v>
      </c>
      <c r="E6" s="3">
        <f t="shared" ref="E6:E69" si="1">D6-B6</f>
        <v>0.22210546870590875</v>
      </c>
      <c r="F6" s="3">
        <f t="shared" ref="F6:F69" si="2">B6-D6</f>
        <v>-0.22210546870590875</v>
      </c>
      <c r="H6">
        <v>29</v>
      </c>
      <c r="I6" s="7">
        <v>24.0549</v>
      </c>
      <c r="J6" s="3">
        <f t="shared" ref="J6:J69" si="3">LN(I6)</f>
        <v>3.1803387180028881</v>
      </c>
      <c r="K6">
        <v>29.548437387154578</v>
      </c>
      <c r="L6">
        <f t="shared" ref="L6:L69" si="4">LN(K6)</f>
        <v>3.3860308621545574</v>
      </c>
      <c r="M6" s="3">
        <f t="shared" ref="M6:M69" si="5">L6-J6</f>
        <v>0.20569214415166925</v>
      </c>
      <c r="N6" s="3">
        <f t="shared" ref="N6:N69" si="6">J6-L6</f>
        <v>-0.20569214415166925</v>
      </c>
    </row>
    <row r="7" spans="1:14" x14ac:dyDescent="0.25">
      <c r="A7">
        <v>29</v>
      </c>
      <c r="B7" s="18">
        <f>'Intact cells'!$D6</f>
        <v>2.5934471040774514</v>
      </c>
      <c r="C7">
        <v>16.600633223717956</v>
      </c>
      <c r="D7">
        <f t="shared" si="0"/>
        <v>2.809440840642063</v>
      </c>
      <c r="E7" s="3">
        <f t="shared" si="1"/>
        <v>0.21599373656461163</v>
      </c>
      <c r="F7" s="3">
        <f t="shared" si="2"/>
        <v>-0.21599373656461163</v>
      </c>
      <c r="H7">
        <v>29</v>
      </c>
      <c r="I7" s="7">
        <v>26.963000000000001</v>
      </c>
      <c r="J7" s="3">
        <f t="shared" si="3"/>
        <v>3.2944655558177871</v>
      </c>
      <c r="K7">
        <v>29.548437387154578</v>
      </c>
      <c r="L7">
        <f t="shared" si="4"/>
        <v>3.3860308621545574</v>
      </c>
      <c r="M7" s="3">
        <f t="shared" si="5"/>
        <v>9.1565306336770291E-2</v>
      </c>
      <c r="N7" s="3">
        <f t="shared" si="6"/>
        <v>-9.1565306336770291E-2</v>
      </c>
    </row>
    <row r="8" spans="1:14" x14ac:dyDescent="0.25">
      <c r="A8">
        <v>29</v>
      </c>
      <c r="B8" s="18">
        <f>'Intact cells'!$D7</f>
        <v>2.8850073953970141</v>
      </c>
      <c r="C8">
        <v>16.600633223717956</v>
      </c>
      <c r="D8">
        <f t="shared" si="0"/>
        <v>2.809440840642063</v>
      </c>
      <c r="E8" s="3">
        <f t="shared" si="1"/>
        <v>-7.556655475495111E-2</v>
      </c>
      <c r="F8" s="3">
        <f t="shared" si="2"/>
        <v>7.556655475495111E-2</v>
      </c>
      <c r="H8">
        <v>29</v>
      </c>
      <c r="I8" s="7">
        <v>33.332099999999997</v>
      </c>
      <c r="J8" s="3">
        <f t="shared" si="3"/>
        <v>3.5065208966354646</v>
      </c>
      <c r="K8">
        <v>29.548437387154578</v>
      </c>
      <c r="L8">
        <f t="shared" si="4"/>
        <v>3.3860308621545574</v>
      </c>
      <c r="M8" s="3">
        <f t="shared" si="5"/>
        <v>-0.12049003448090723</v>
      </c>
      <c r="N8" s="3">
        <f t="shared" si="6"/>
        <v>0.12049003448090723</v>
      </c>
    </row>
    <row r="9" spans="1:14" x14ac:dyDescent="0.25">
      <c r="A9">
        <v>29</v>
      </c>
      <c r="B9" s="18">
        <f>'Intact cells'!$D8</f>
        <v>2.9657317237563605</v>
      </c>
      <c r="C9">
        <v>16.600633223717956</v>
      </c>
      <c r="D9">
        <f t="shared" si="0"/>
        <v>2.809440840642063</v>
      </c>
      <c r="E9" s="3">
        <f t="shared" si="1"/>
        <v>-0.15629088311429751</v>
      </c>
      <c r="F9" s="3">
        <f t="shared" si="2"/>
        <v>0.15629088311429751</v>
      </c>
      <c r="H9">
        <v>29</v>
      </c>
      <c r="I9" s="7">
        <v>35.1036</v>
      </c>
      <c r="J9" s="3">
        <f t="shared" si="3"/>
        <v>3.5583036893150464</v>
      </c>
      <c r="K9">
        <v>29.548437387154578</v>
      </c>
      <c r="L9">
        <f t="shared" si="4"/>
        <v>3.3860308621545574</v>
      </c>
      <c r="M9" s="3">
        <f t="shared" si="5"/>
        <v>-0.17227282716048897</v>
      </c>
      <c r="N9" s="3">
        <f t="shared" si="6"/>
        <v>0.17227282716048897</v>
      </c>
    </row>
    <row r="10" spans="1:14" s="24" customFormat="1" x14ac:dyDescent="0.25">
      <c r="A10" s="24">
        <v>31</v>
      </c>
      <c r="B10" s="25">
        <f>'Intact cells'!$D9</f>
        <v>2.7121219004722636</v>
      </c>
      <c r="C10" s="24">
        <v>18.231093218403839</v>
      </c>
      <c r="D10" s="24">
        <f t="shared" si="0"/>
        <v>2.903128554989312</v>
      </c>
      <c r="E10" s="26">
        <f t="shared" si="1"/>
        <v>0.19100665451704835</v>
      </c>
      <c r="F10" s="26">
        <f t="shared" si="2"/>
        <v>-0.19100665451704835</v>
      </c>
      <c r="H10" s="24">
        <v>31</v>
      </c>
      <c r="I10" s="24">
        <v>31.0487</v>
      </c>
      <c r="J10" s="26">
        <f t="shared" si="3"/>
        <v>3.4355569395480892</v>
      </c>
      <c r="K10" s="24">
        <v>30.66799327082386</v>
      </c>
      <c r="L10" s="24">
        <f t="shared" si="4"/>
        <v>3.4232195462765072</v>
      </c>
      <c r="M10" s="26">
        <f>L10-J10</f>
        <v>-1.2337393271582009E-2</v>
      </c>
      <c r="N10" s="26">
        <f t="shared" si="6"/>
        <v>1.2337393271582009E-2</v>
      </c>
    </row>
    <row r="11" spans="1:14" s="24" customFormat="1" x14ac:dyDescent="0.25">
      <c r="A11" s="24">
        <v>31</v>
      </c>
      <c r="B11" s="25">
        <f>'Intact cells'!$D10</f>
        <v>2.7376543097607691</v>
      </c>
      <c r="C11" s="24">
        <v>18.231093218403839</v>
      </c>
      <c r="D11" s="24">
        <f t="shared" si="0"/>
        <v>2.903128554989312</v>
      </c>
      <c r="E11" s="26">
        <f t="shared" si="1"/>
        <v>0.16547424522854293</v>
      </c>
      <c r="F11" s="26">
        <f t="shared" si="2"/>
        <v>-0.16547424522854293</v>
      </c>
      <c r="H11" s="24">
        <v>31</v>
      </c>
      <c r="I11" s="24">
        <v>24.599800000000002</v>
      </c>
      <c r="J11" s="26">
        <f t="shared" si="3"/>
        <v>3.2027383128239673</v>
      </c>
      <c r="K11" s="24">
        <v>30.66799327082386</v>
      </c>
      <c r="L11" s="24">
        <f t="shared" si="4"/>
        <v>3.4232195462765072</v>
      </c>
      <c r="M11" s="26">
        <f t="shared" si="5"/>
        <v>0.22048123345253989</v>
      </c>
      <c r="N11" s="26">
        <f t="shared" si="6"/>
        <v>-0.22048123345253989</v>
      </c>
    </row>
    <row r="12" spans="1:14" s="24" customFormat="1" x14ac:dyDescent="0.25">
      <c r="A12" s="24">
        <v>31</v>
      </c>
      <c r="B12" s="25">
        <f>'Intact cells'!$D11</f>
        <v>2.7530809264765135</v>
      </c>
      <c r="C12" s="24">
        <v>18.231093218403839</v>
      </c>
      <c r="D12" s="24">
        <f t="shared" si="0"/>
        <v>2.903128554989312</v>
      </c>
      <c r="E12" s="26">
        <f t="shared" si="1"/>
        <v>0.15004762851279851</v>
      </c>
      <c r="F12" s="26">
        <f t="shared" si="2"/>
        <v>-0.15004762851279851</v>
      </c>
      <c r="H12" s="24">
        <v>31</v>
      </c>
      <c r="I12" s="24">
        <v>23.819000000000003</v>
      </c>
      <c r="J12" s="26">
        <f t="shared" si="3"/>
        <v>3.1704835815177774</v>
      </c>
      <c r="K12" s="24">
        <v>30.66799327082386</v>
      </c>
      <c r="L12" s="24">
        <f t="shared" si="4"/>
        <v>3.4232195462765072</v>
      </c>
      <c r="M12" s="26">
        <f t="shared" si="5"/>
        <v>0.25273596475872973</v>
      </c>
      <c r="N12" s="26">
        <f t="shared" si="6"/>
        <v>-0.25273596475872973</v>
      </c>
    </row>
    <row r="13" spans="1:14" s="24" customFormat="1" x14ac:dyDescent="0.25">
      <c r="A13" s="24">
        <v>31</v>
      </c>
      <c r="B13" s="25">
        <f>'Intact cells'!$D12</f>
        <v>2.765211577900732</v>
      </c>
      <c r="C13" s="24">
        <v>18.231093218403839</v>
      </c>
      <c r="D13" s="24">
        <f t="shared" si="0"/>
        <v>2.903128554989312</v>
      </c>
      <c r="E13" s="26">
        <f t="shared" si="1"/>
        <v>0.13791697708857997</v>
      </c>
      <c r="F13" s="26">
        <f t="shared" si="2"/>
        <v>-0.13791697708857997</v>
      </c>
      <c r="H13" s="24">
        <v>31</v>
      </c>
      <c r="I13" s="24">
        <v>26.582700000000003</v>
      </c>
      <c r="J13" s="26">
        <f t="shared" si="3"/>
        <v>3.2802606282616269</v>
      </c>
      <c r="K13" s="24">
        <v>30.66799327082386</v>
      </c>
      <c r="L13" s="24">
        <f t="shared" si="4"/>
        <v>3.4232195462765072</v>
      </c>
      <c r="M13" s="26">
        <f t="shared" si="5"/>
        <v>0.14295891801488025</v>
      </c>
      <c r="N13" s="26">
        <f t="shared" si="6"/>
        <v>-0.14295891801488025</v>
      </c>
    </row>
    <row r="14" spans="1:14" s="24" customFormat="1" x14ac:dyDescent="0.25">
      <c r="A14" s="24">
        <v>31</v>
      </c>
      <c r="B14" s="25">
        <f>'Intact cells'!$D13</f>
        <v>3.051507509021405</v>
      </c>
      <c r="C14" s="24">
        <v>18.231093218403839</v>
      </c>
      <c r="D14" s="24">
        <f t="shared" si="0"/>
        <v>2.903128554989312</v>
      </c>
      <c r="E14" s="26">
        <f t="shared" si="1"/>
        <v>-0.148378954032093</v>
      </c>
      <c r="F14" s="26">
        <f t="shared" si="2"/>
        <v>0.148378954032093</v>
      </c>
      <c r="H14" s="24">
        <v>31</v>
      </c>
      <c r="I14" s="24">
        <v>39.504899999999999</v>
      </c>
      <c r="J14" s="26">
        <f t="shared" si="3"/>
        <v>3.6764247148463443</v>
      </c>
      <c r="K14" s="24">
        <v>30.66799327082386</v>
      </c>
      <c r="L14" s="24">
        <f t="shared" si="4"/>
        <v>3.4232195462765072</v>
      </c>
      <c r="M14" s="26">
        <f t="shared" si="5"/>
        <v>-0.2532051685698371</v>
      </c>
      <c r="N14" s="26">
        <f t="shared" si="6"/>
        <v>0.2532051685698371</v>
      </c>
    </row>
    <row r="15" spans="1:14" x14ac:dyDescent="0.25">
      <c r="A15">
        <v>33</v>
      </c>
      <c r="B15" s="18">
        <f>'Intact cells'!$D14</f>
        <v>3.0091222266727504</v>
      </c>
      <c r="C15">
        <v>19.997198592520842</v>
      </c>
      <c r="D15">
        <f t="shared" si="0"/>
        <v>2.9955921933692622</v>
      </c>
      <c r="E15" s="3">
        <f t="shared" si="1"/>
        <v>-1.3530033303488231E-2</v>
      </c>
      <c r="F15" s="3">
        <f t="shared" si="2"/>
        <v>1.3530033303488231E-2</v>
      </c>
      <c r="H15">
        <v>33</v>
      </c>
      <c r="I15" s="7">
        <v>39.145600000000002</v>
      </c>
      <c r="J15" s="3">
        <f t="shared" si="3"/>
        <v>3.6672880278704603</v>
      </c>
      <c r="K15">
        <v>31.814505767500417</v>
      </c>
      <c r="L15">
        <f t="shared" si="4"/>
        <v>3.4599223419892198</v>
      </c>
      <c r="M15" s="3">
        <f t="shared" si="5"/>
        <v>-0.20736568588124049</v>
      </c>
      <c r="N15" s="3">
        <f t="shared" si="6"/>
        <v>0.20736568588124049</v>
      </c>
    </row>
    <row r="16" spans="1:14" x14ac:dyDescent="0.25">
      <c r="A16">
        <v>33</v>
      </c>
      <c r="B16" s="18">
        <f>'Intact cells'!$D15</f>
        <v>2.8550784335563693</v>
      </c>
      <c r="C16">
        <v>19.997198592520842</v>
      </c>
      <c r="D16">
        <f t="shared" si="0"/>
        <v>2.9955921933692622</v>
      </c>
      <c r="E16" s="3">
        <f t="shared" si="1"/>
        <v>0.14051375981289294</v>
      </c>
      <c r="F16" s="3">
        <f t="shared" si="2"/>
        <v>-0.14051375981289294</v>
      </c>
      <c r="H16">
        <v>33</v>
      </c>
      <c r="I16" s="7">
        <v>33.184699999999999</v>
      </c>
      <c r="J16" s="3">
        <f t="shared" si="3"/>
        <v>3.5020889263280059</v>
      </c>
      <c r="K16">
        <v>31.814505767500417</v>
      </c>
      <c r="L16">
        <f t="shared" si="4"/>
        <v>3.4599223419892198</v>
      </c>
      <c r="M16" s="3">
        <f t="shared" si="5"/>
        <v>-4.2166584338786173E-2</v>
      </c>
      <c r="N16" s="3">
        <f t="shared" si="6"/>
        <v>4.2166584338786173E-2</v>
      </c>
    </row>
    <row r="17" spans="1:14" x14ac:dyDescent="0.25">
      <c r="A17">
        <v>33</v>
      </c>
      <c r="B17" s="18">
        <f>'Intact cells'!$D16</f>
        <v>2.4943535536130108</v>
      </c>
      <c r="C17">
        <v>19.997198592520842</v>
      </c>
      <c r="D17">
        <f t="shared" si="0"/>
        <v>2.9955921933692622</v>
      </c>
      <c r="E17" s="3">
        <f t="shared" si="1"/>
        <v>0.50123863975625138</v>
      </c>
      <c r="F17" s="3">
        <f t="shared" si="2"/>
        <v>-0.50123863975625138</v>
      </c>
      <c r="H17">
        <v>33</v>
      </c>
      <c r="I17" s="7">
        <v>16.284099999999999</v>
      </c>
      <c r="J17" s="3">
        <f t="shared" si="3"/>
        <v>2.7901891716191742</v>
      </c>
      <c r="K17">
        <v>31.814505767500417</v>
      </c>
      <c r="L17">
        <f t="shared" si="4"/>
        <v>3.4599223419892198</v>
      </c>
      <c r="M17" s="3">
        <f t="shared" si="5"/>
        <v>0.66973317037004554</v>
      </c>
      <c r="N17" s="3">
        <f t="shared" si="6"/>
        <v>-0.66973317037004554</v>
      </c>
    </row>
    <row r="18" spans="1:14" x14ac:dyDescent="0.25">
      <c r="A18">
        <v>33</v>
      </c>
      <c r="B18" s="18">
        <f>'Intact cells'!$D17</f>
        <v>3.1321800344395299</v>
      </c>
      <c r="C18">
        <v>19.997198592520842</v>
      </c>
      <c r="D18">
        <f t="shared" si="0"/>
        <v>2.9955921933692622</v>
      </c>
      <c r="E18" s="3">
        <f t="shared" si="1"/>
        <v>-0.13658784107026767</v>
      </c>
      <c r="F18" s="3">
        <f t="shared" si="2"/>
        <v>0.13658784107026767</v>
      </c>
      <c r="H18">
        <v>33</v>
      </c>
      <c r="I18" s="7">
        <v>20.451499999999999</v>
      </c>
      <c r="J18" s="3">
        <f t="shared" si="3"/>
        <v>3.0180562294321098</v>
      </c>
      <c r="K18">
        <v>31.814505767500417</v>
      </c>
      <c r="L18">
        <f t="shared" si="4"/>
        <v>3.4599223419892198</v>
      </c>
      <c r="M18" s="3">
        <f t="shared" si="5"/>
        <v>0.44186611255710995</v>
      </c>
      <c r="N18" s="3">
        <f t="shared" si="6"/>
        <v>-0.44186611255710995</v>
      </c>
    </row>
    <row r="19" spans="1:14" x14ac:dyDescent="0.25">
      <c r="A19">
        <v>33</v>
      </c>
      <c r="B19" s="18">
        <f>'Intact cells'!$D18</f>
        <v>3.1728193208428221</v>
      </c>
      <c r="C19">
        <v>19.997198592520842</v>
      </c>
      <c r="D19">
        <f t="shared" si="0"/>
        <v>2.9955921933692622</v>
      </c>
      <c r="E19" s="3">
        <f t="shared" si="1"/>
        <v>-0.17722712747355995</v>
      </c>
      <c r="F19" s="3">
        <f t="shared" si="2"/>
        <v>0.17722712747355995</v>
      </c>
      <c r="H19">
        <v>33</v>
      </c>
      <c r="I19" s="7">
        <v>40.653500000000001</v>
      </c>
      <c r="J19" s="3">
        <f t="shared" si="3"/>
        <v>3.705084933148362</v>
      </c>
      <c r="K19">
        <v>31.814505767500417</v>
      </c>
      <c r="L19">
        <f t="shared" si="4"/>
        <v>3.4599223419892198</v>
      </c>
      <c r="M19" s="3">
        <f t="shared" si="5"/>
        <v>-0.24516259115914218</v>
      </c>
      <c r="N19" s="3">
        <f t="shared" si="6"/>
        <v>0.24516259115914218</v>
      </c>
    </row>
    <row r="20" spans="1:14" s="24" customFormat="1" x14ac:dyDescent="0.25">
      <c r="A20" s="24">
        <v>35</v>
      </c>
      <c r="B20" s="25">
        <f>'Intact cells'!$D19</f>
        <v>3.347638364567592</v>
      </c>
      <c r="C20" s="24">
        <v>21.908081561197012</v>
      </c>
      <c r="D20" s="24">
        <f>LN(C20)</f>
        <v>3.0868555898101544</v>
      </c>
      <c r="E20" s="26">
        <f>D20-B20</f>
        <v>-0.26078277475743761</v>
      </c>
      <c r="F20" s="26">
        <f t="shared" si="2"/>
        <v>0.26078277475743761</v>
      </c>
      <c r="H20" s="24">
        <v>35</v>
      </c>
      <c r="I20" s="24">
        <v>48.354599999999998</v>
      </c>
      <c r="J20" s="26">
        <f t="shared" si="3"/>
        <v>3.8785613569808501</v>
      </c>
      <c r="K20" s="24">
        <v>32.988160027574359</v>
      </c>
      <c r="L20" s="24">
        <f t="shared" si="4"/>
        <v>3.4961487100438084</v>
      </c>
      <c r="M20" s="26">
        <f t="shared" si="5"/>
        <v>-0.38241264693704169</v>
      </c>
      <c r="N20" s="26">
        <f t="shared" si="6"/>
        <v>0.38241264693704169</v>
      </c>
    </row>
    <row r="21" spans="1:14" s="24" customFormat="1" x14ac:dyDescent="0.25">
      <c r="A21" s="24">
        <v>35</v>
      </c>
      <c r="B21" s="25">
        <f>'Intact cells'!$D20</f>
        <v>3.2035550590096342</v>
      </c>
      <c r="C21" s="24">
        <v>21.908081561197012</v>
      </c>
      <c r="D21" s="24">
        <f t="shared" si="0"/>
        <v>3.0868555898101544</v>
      </c>
      <c r="E21" s="26">
        <f t="shared" si="1"/>
        <v>-0.11669946919947982</v>
      </c>
      <c r="F21" s="26">
        <f t="shared" si="2"/>
        <v>0.11669946919947982</v>
      </c>
      <c r="H21" s="24">
        <v>35</v>
      </c>
      <c r="I21" s="24">
        <v>32.182000000000002</v>
      </c>
      <c r="J21" s="26">
        <f t="shared" si="3"/>
        <v>3.4714072900369586</v>
      </c>
      <c r="K21" s="24">
        <v>32.988160027574359</v>
      </c>
      <c r="L21" s="24">
        <f t="shared" si="4"/>
        <v>3.4961487100438084</v>
      </c>
      <c r="M21" s="26">
        <f t="shared" si="5"/>
        <v>2.4741420006849868E-2</v>
      </c>
      <c r="N21" s="26">
        <f t="shared" si="6"/>
        <v>-2.4741420006849868E-2</v>
      </c>
    </row>
    <row r="22" spans="1:14" s="24" customFormat="1" x14ac:dyDescent="0.25">
      <c r="A22" s="24">
        <v>35</v>
      </c>
      <c r="B22" s="25">
        <f>'Intact cells'!$D21</f>
        <v>3.2213766950837655</v>
      </c>
      <c r="C22" s="24">
        <v>21.908081561197012</v>
      </c>
      <c r="D22" s="24">
        <f t="shared" si="0"/>
        <v>3.0868555898101544</v>
      </c>
      <c r="E22" s="26">
        <f t="shared" si="1"/>
        <v>-0.13452110527361105</v>
      </c>
      <c r="F22" s="26">
        <f t="shared" si="2"/>
        <v>0.13452110527361105</v>
      </c>
      <c r="H22" s="24">
        <v>35</v>
      </c>
      <c r="I22" s="24">
        <v>40.689</v>
      </c>
      <c r="J22" s="26">
        <f t="shared" si="3"/>
        <v>3.7059577856486876</v>
      </c>
      <c r="K22" s="24">
        <v>32.988160027574359</v>
      </c>
      <c r="L22" s="24">
        <f t="shared" si="4"/>
        <v>3.4961487100438084</v>
      </c>
      <c r="M22" s="26">
        <f t="shared" si="5"/>
        <v>-0.20980907560487916</v>
      </c>
      <c r="N22" s="26">
        <f t="shared" si="6"/>
        <v>0.20980907560487916</v>
      </c>
    </row>
    <row r="23" spans="1:14" s="24" customFormat="1" x14ac:dyDescent="0.25">
      <c r="A23" s="24">
        <v>35</v>
      </c>
      <c r="B23" s="25">
        <f>'Intact cells'!$D22</f>
        <v>3.8041170306140164</v>
      </c>
      <c r="C23" s="24">
        <v>21.908081561197012</v>
      </c>
      <c r="D23" s="24">
        <f t="shared" si="0"/>
        <v>3.0868555898101544</v>
      </c>
      <c r="E23" s="26">
        <f t="shared" si="1"/>
        <v>-0.717261440803862</v>
      </c>
      <c r="F23" s="26">
        <f t="shared" si="2"/>
        <v>0.717261440803862</v>
      </c>
      <c r="H23" s="24">
        <v>35</v>
      </c>
      <c r="I23" s="24">
        <v>66.492000000000004</v>
      </c>
      <c r="J23" s="26">
        <f t="shared" si="3"/>
        <v>4.1970816396732129</v>
      </c>
      <c r="K23" s="24">
        <v>32.988160027574359</v>
      </c>
      <c r="L23" s="24">
        <f t="shared" si="4"/>
        <v>3.4961487100438084</v>
      </c>
      <c r="M23" s="26">
        <f t="shared" si="5"/>
        <v>-0.70093292962940446</v>
      </c>
      <c r="N23" s="26">
        <f t="shared" si="6"/>
        <v>0.70093292962940446</v>
      </c>
    </row>
    <row r="24" spans="1:14" s="24" customFormat="1" x14ac:dyDescent="0.25">
      <c r="A24" s="24">
        <v>35</v>
      </c>
      <c r="B24" s="25">
        <f>'Intact cells'!$D23</f>
        <v>3.1773786024328778</v>
      </c>
      <c r="C24" s="24">
        <v>21.908081561197012</v>
      </c>
      <c r="D24" s="24">
        <f t="shared" si="0"/>
        <v>3.0868555898101544</v>
      </c>
      <c r="E24" s="26">
        <f t="shared" si="1"/>
        <v>-9.0523012622723442E-2</v>
      </c>
      <c r="F24" s="26">
        <f t="shared" si="2"/>
        <v>9.0523012622723442E-2</v>
      </c>
      <c r="H24" s="24">
        <v>35</v>
      </c>
      <c r="I24" s="24">
        <v>24.006699999999999</v>
      </c>
      <c r="J24" s="26">
        <f t="shared" si="3"/>
        <v>3.1783329580548489</v>
      </c>
      <c r="K24" s="24">
        <v>32.988160027574359</v>
      </c>
      <c r="L24" s="24">
        <f t="shared" si="4"/>
        <v>3.4961487100438084</v>
      </c>
      <c r="M24" s="26">
        <f t="shared" si="5"/>
        <v>0.31781575198895951</v>
      </c>
      <c r="N24" s="26">
        <f t="shared" si="6"/>
        <v>-0.31781575198895951</v>
      </c>
    </row>
    <row r="25" spans="1:14" x14ac:dyDescent="0.25">
      <c r="A25">
        <v>37</v>
      </c>
      <c r="B25" s="18">
        <f>'Intact cells'!$D24</f>
        <v>3.2048985969373414</v>
      </c>
      <c r="C25">
        <v>23.973330026709927</v>
      </c>
      <c r="D25">
        <f t="shared" si="0"/>
        <v>3.1769419635660157</v>
      </c>
      <c r="E25" s="3">
        <f t="shared" si="1"/>
        <v>-2.7956633371325701E-2</v>
      </c>
      <c r="F25" s="3">
        <f t="shared" si="2"/>
        <v>2.7956633371325701E-2</v>
      </c>
      <c r="H25">
        <v>37</v>
      </c>
      <c r="I25" s="7">
        <v>46.372699999999995</v>
      </c>
      <c r="J25" s="3">
        <f t="shared" si="3"/>
        <v>3.8367109240103607</v>
      </c>
      <c r="K25">
        <v>34.189133756375263</v>
      </c>
      <c r="L25">
        <f t="shared" si="4"/>
        <v>3.53190786716105</v>
      </c>
      <c r="M25" s="3">
        <f t="shared" si="5"/>
        <v>-0.30480305684931075</v>
      </c>
      <c r="N25" s="3">
        <f t="shared" si="6"/>
        <v>0.30480305684931075</v>
      </c>
    </row>
    <row r="26" spans="1:14" x14ac:dyDescent="0.25">
      <c r="A26">
        <v>37</v>
      </c>
      <c r="B26" s="18">
        <f>'Intact cells'!$D25</f>
        <v>3.4890739398301447</v>
      </c>
      <c r="C26">
        <v>23.973330026709927</v>
      </c>
      <c r="D26">
        <f t="shared" si="0"/>
        <v>3.1769419635660157</v>
      </c>
      <c r="E26" s="3">
        <f t="shared" si="1"/>
        <v>-0.31213197626412903</v>
      </c>
      <c r="F26" s="3">
        <f t="shared" si="2"/>
        <v>0.31213197626412903</v>
      </c>
      <c r="H26">
        <v>37</v>
      </c>
      <c r="I26" s="7">
        <v>58.630299999999998</v>
      </c>
      <c r="J26" s="3">
        <f t="shared" si="3"/>
        <v>4.0712516277974178</v>
      </c>
      <c r="K26">
        <v>34.189133756375263</v>
      </c>
      <c r="L26">
        <f t="shared" si="4"/>
        <v>3.53190786716105</v>
      </c>
      <c r="M26" s="3">
        <f t="shared" si="5"/>
        <v>-0.5393437606363678</v>
      </c>
      <c r="N26" s="3">
        <f t="shared" si="6"/>
        <v>0.5393437606363678</v>
      </c>
    </row>
    <row r="27" spans="1:14" x14ac:dyDescent="0.25">
      <c r="A27">
        <v>37</v>
      </c>
      <c r="B27" s="18">
        <f>'Intact cells'!$D26</f>
        <v>3.9979547998781979</v>
      </c>
      <c r="C27">
        <v>23.973330026709927</v>
      </c>
      <c r="D27">
        <f t="shared" si="0"/>
        <v>3.1769419635660157</v>
      </c>
      <c r="E27" s="3">
        <f t="shared" si="1"/>
        <v>-0.82101283631218225</v>
      </c>
      <c r="F27" s="3">
        <f t="shared" si="2"/>
        <v>0.82101283631218225</v>
      </c>
      <c r="H27">
        <v>37</v>
      </c>
      <c r="I27" s="7">
        <v>72.4024</v>
      </c>
      <c r="J27" s="3">
        <f t="shared" si="3"/>
        <v>4.2822394480135202</v>
      </c>
      <c r="K27">
        <v>34.189133756375263</v>
      </c>
      <c r="L27">
        <f t="shared" si="4"/>
        <v>3.53190786716105</v>
      </c>
      <c r="M27" s="3">
        <f t="shared" si="5"/>
        <v>-0.7503315808524702</v>
      </c>
      <c r="N27" s="3">
        <f t="shared" si="6"/>
        <v>0.7503315808524702</v>
      </c>
    </row>
    <row r="28" spans="1:14" x14ac:dyDescent="0.25">
      <c r="A28">
        <v>37</v>
      </c>
      <c r="B28" s="18">
        <f>'Intact cells'!$D27</f>
        <v>3.4182019804779791</v>
      </c>
      <c r="C28">
        <v>23.973330026709927</v>
      </c>
      <c r="D28">
        <f t="shared" si="0"/>
        <v>3.1769419635660157</v>
      </c>
      <c r="E28" s="3">
        <f t="shared" si="1"/>
        <v>-0.24126001691196342</v>
      </c>
      <c r="F28" s="3">
        <f t="shared" si="2"/>
        <v>0.24126001691196342</v>
      </c>
      <c r="H28">
        <v>37</v>
      </c>
      <c r="I28" s="7">
        <v>46.744399999999999</v>
      </c>
      <c r="J28" s="3">
        <f t="shared" si="3"/>
        <v>3.844694462463512</v>
      </c>
      <c r="K28">
        <v>34.189133756375263</v>
      </c>
      <c r="L28">
        <f t="shared" si="4"/>
        <v>3.53190786716105</v>
      </c>
      <c r="M28" s="3">
        <f t="shared" si="5"/>
        <v>-0.312786595302462</v>
      </c>
      <c r="N28" s="3">
        <f t="shared" si="6"/>
        <v>0.312786595302462</v>
      </c>
    </row>
    <row r="29" spans="1:14" x14ac:dyDescent="0.25">
      <c r="A29">
        <v>37</v>
      </c>
      <c r="B29" s="18">
        <f>'Intact cells'!$D28</f>
        <v>3.8262385118727846</v>
      </c>
      <c r="C29">
        <v>23.973330026709927</v>
      </c>
      <c r="D29">
        <f t="shared" si="0"/>
        <v>3.1769419635660157</v>
      </c>
      <c r="E29" s="3">
        <f t="shared" si="1"/>
        <v>-0.64929654830676897</v>
      </c>
      <c r="F29" s="3">
        <f t="shared" si="2"/>
        <v>0.64929654830676897</v>
      </c>
      <c r="H29">
        <v>37</v>
      </c>
      <c r="I29" s="7">
        <v>60.068700000000007</v>
      </c>
      <c r="J29" s="3">
        <f t="shared" si="3"/>
        <v>4.0954889072095462</v>
      </c>
      <c r="K29">
        <v>34.189133756375263</v>
      </c>
      <c r="L29">
        <f t="shared" si="4"/>
        <v>3.53190786716105</v>
      </c>
      <c r="M29" s="3">
        <f t="shared" si="5"/>
        <v>-0.56358104004849618</v>
      </c>
      <c r="N29" s="3">
        <f t="shared" si="6"/>
        <v>0.56358104004849618</v>
      </c>
    </row>
    <row r="30" spans="1:14" s="24" customFormat="1" x14ac:dyDescent="0.25">
      <c r="A30" s="24">
        <v>38</v>
      </c>
      <c r="B30" s="25">
        <f>'Intact cells'!$D29</f>
        <v>3.0316687533582964</v>
      </c>
      <c r="C30" s="24">
        <v>25.489612086240964</v>
      </c>
      <c r="D30" s="24">
        <f t="shared" si="0"/>
        <v>3.2382709999999992</v>
      </c>
      <c r="E30" s="26">
        <f t="shared" si="1"/>
        <v>0.20660224664170279</v>
      </c>
      <c r="F30" s="26">
        <f t="shared" si="2"/>
        <v>-0.20660224664170279</v>
      </c>
      <c r="H30" s="24">
        <v>38</v>
      </c>
      <c r="I30" s="24">
        <v>38.650100000000002</v>
      </c>
      <c r="J30" s="26">
        <f t="shared" si="3"/>
        <v>3.6545493623522054</v>
      </c>
      <c r="K30" s="24">
        <v>35.031652151514571</v>
      </c>
      <c r="L30" s="24">
        <f t="shared" si="4"/>
        <v>3.5562519999999989</v>
      </c>
      <c r="M30" s="26">
        <f t="shared" si="5"/>
        <v>-9.8297362352206541E-2</v>
      </c>
      <c r="N30" s="26">
        <f t="shared" si="6"/>
        <v>9.8297362352206541E-2</v>
      </c>
    </row>
    <row r="31" spans="1:14" s="24" customFormat="1" x14ac:dyDescent="0.25">
      <c r="A31" s="24">
        <v>38</v>
      </c>
      <c r="B31" s="25">
        <f>'Intact cells'!$D30</f>
        <v>3.0477932731804493</v>
      </c>
      <c r="C31" s="24">
        <v>25.489612086240964</v>
      </c>
      <c r="D31" s="24">
        <f t="shared" si="0"/>
        <v>3.2382709999999992</v>
      </c>
      <c r="E31" s="26">
        <f t="shared" si="1"/>
        <v>0.19047772681954989</v>
      </c>
      <c r="F31" s="26">
        <f t="shared" si="2"/>
        <v>-0.19047772681954989</v>
      </c>
      <c r="H31" s="24">
        <v>38</v>
      </c>
      <c r="I31" s="24">
        <v>38.205100000000002</v>
      </c>
      <c r="J31" s="26">
        <f t="shared" si="3"/>
        <v>3.6429690145545526</v>
      </c>
      <c r="K31" s="24">
        <v>35.031652151514571</v>
      </c>
      <c r="L31" s="24">
        <f t="shared" si="4"/>
        <v>3.5562519999999989</v>
      </c>
      <c r="M31" s="26">
        <f t="shared" si="5"/>
        <v>-8.6717014554553717E-2</v>
      </c>
      <c r="N31" s="26">
        <f t="shared" si="6"/>
        <v>8.6717014554553717E-2</v>
      </c>
    </row>
    <row r="32" spans="1:14" s="24" customFormat="1" x14ac:dyDescent="0.25">
      <c r="A32" s="24">
        <v>38</v>
      </c>
      <c r="B32" s="25">
        <f>'Intact cells'!$D31</f>
        <v>2.9737371444814116</v>
      </c>
      <c r="C32" s="24">
        <v>25.489612086240964</v>
      </c>
      <c r="D32" s="24">
        <f t="shared" si="0"/>
        <v>3.2382709999999992</v>
      </c>
      <c r="E32" s="26">
        <f t="shared" si="1"/>
        <v>0.26453385551858766</v>
      </c>
      <c r="F32" s="26">
        <f t="shared" si="2"/>
        <v>-0.26453385551858766</v>
      </c>
      <c r="H32" s="24">
        <v>38</v>
      </c>
      <c r="I32" s="24">
        <v>32.178799999999995</v>
      </c>
      <c r="J32" s="26">
        <f t="shared" si="3"/>
        <v>3.4713078506265522</v>
      </c>
      <c r="K32" s="24">
        <v>35.031652151514571</v>
      </c>
      <c r="L32" s="24">
        <f t="shared" si="4"/>
        <v>3.5562519999999989</v>
      </c>
      <c r="M32" s="26">
        <f t="shared" si="5"/>
        <v>8.4944149373446631E-2</v>
      </c>
      <c r="N32" s="26">
        <f t="shared" si="6"/>
        <v>-8.4944149373446631E-2</v>
      </c>
    </row>
    <row r="33" spans="1:14" s="24" customFormat="1" x14ac:dyDescent="0.25">
      <c r="A33" s="24">
        <v>38</v>
      </c>
      <c r="B33" s="25">
        <f>'Intact cells'!$D32</f>
        <v>2.9384685600525806</v>
      </c>
      <c r="C33" s="24">
        <v>25.489612086240964</v>
      </c>
      <c r="D33" s="24">
        <f t="shared" si="0"/>
        <v>3.2382709999999992</v>
      </c>
      <c r="E33" s="26">
        <f t="shared" si="1"/>
        <v>0.29980243994741862</v>
      </c>
      <c r="F33" s="26">
        <f t="shared" si="2"/>
        <v>-0.29980243994741862</v>
      </c>
      <c r="H33" s="24">
        <v>38</v>
      </c>
      <c r="I33" s="24">
        <v>22.7028</v>
      </c>
      <c r="J33" s="26">
        <f t="shared" si="3"/>
        <v>3.1224882648982368</v>
      </c>
      <c r="K33" s="24">
        <v>35.031652151514571</v>
      </c>
      <c r="L33" s="24">
        <f t="shared" si="4"/>
        <v>3.5562519999999989</v>
      </c>
      <c r="M33" s="26">
        <f t="shared" si="5"/>
        <v>0.43376373510176203</v>
      </c>
      <c r="N33" s="26">
        <f t="shared" si="6"/>
        <v>-0.43376373510176203</v>
      </c>
    </row>
    <row r="34" spans="1:14" s="24" customFormat="1" x14ac:dyDescent="0.25">
      <c r="A34" s="24">
        <v>38</v>
      </c>
      <c r="B34" s="25">
        <f>'Intact cells'!$D33</f>
        <v>3.1116201812559172</v>
      </c>
      <c r="C34" s="24">
        <v>25.489612086240964</v>
      </c>
      <c r="D34" s="24">
        <f t="shared" si="0"/>
        <v>3.2382709999999992</v>
      </c>
      <c r="E34" s="26">
        <f t="shared" si="1"/>
        <v>0.12665081874408202</v>
      </c>
      <c r="F34" s="26">
        <f t="shared" si="2"/>
        <v>-0.12665081874408202</v>
      </c>
      <c r="H34" s="24">
        <v>38</v>
      </c>
      <c r="I34" s="24">
        <v>16.776799999999998</v>
      </c>
      <c r="J34" s="26">
        <f t="shared" si="3"/>
        <v>2.8199969796347721</v>
      </c>
      <c r="K34" s="24">
        <v>35.031652151514571</v>
      </c>
      <c r="L34" s="24">
        <f t="shared" si="4"/>
        <v>3.5562519999999989</v>
      </c>
      <c r="M34" s="26">
        <f t="shared" si="5"/>
        <v>0.73625502036522672</v>
      </c>
      <c r="N34" s="26">
        <f t="shared" si="6"/>
        <v>-0.73625502036522672</v>
      </c>
    </row>
    <row r="35" spans="1:14" x14ac:dyDescent="0.25">
      <c r="A35">
        <v>39</v>
      </c>
      <c r="B35" s="18">
        <f>'Intact cells'!$D34</f>
        <v>3.2063213461634765</v>
      </c>
      <c r="C35">
        <v>26.610875882841498</v>
      </c>
      <c r="D35">
        <f t="shared" si="0"/>
        <v>3.2813199999999973</v>
      </c>
      <c r="E35" s="3">
        <f t="shared" si="1"/>
        <v>7.4998653836520823E-2</v>
      </c>
      <c r="F35" s="3">
        <f t="shared" si="2"/>
        <v>-7.4998653836520823E-2</v>
      </c>
      <c r="H35">
        <v>39</v>
      </c>
      <c r="I35" s="7">
        <v>59.271000000000001</v>
      </c>
      <c r="J35" s="3">
        <f t="shared" si="3"/>
        <v>4.0821201475993778</v>
      </c>
      <c r="K35">
        <v>35.635416897948708</v>
      </c>
      <c r="L35">
        <f t="shared" si="4"/>
        <v>3.5733399999999982</v>
      </c>
      <c r="M35" s="3">
        <f t="shared" si="5"/>
        <v>-0.50878014759937962</v>
      </c>
      <c r="N35" s="3">
        <f t="shared" si="6"/>
        <v>0.50878014759937962</v>
      </c>
    </row>
    <row r="36" spans="1:14" x14ac:dyDescent="0.25">
      <c r="A36">
        <v>39</v>
      </c>
      <c r="B36" s="18">
        <f>'Intact cells'!$D35</f>
        <v>2.9439125248241944</v>
      </c>
      <c r="C36">
        <v>26.610875882841498</v>
      </c>
      <c r="D36">
        <f t="shared" si="0"/>
        <v>3.2813199999999973</v>
      </c>
      <c r="E36" s="3">
        <f t="shared" si="1"/>
        <v>0.33740747517580294</v>
      </c>
      <c r="F36" s="3">
        <f t="shared" si="2"/>
        <v>-0.33740747517580294</v>
      </c>
      <c r="H36">
        <v>39</v>
      </c>
      <c r="I36" s="7">
        <v>27.610300000000002</v>
      </c>
      <c r="J36" s="3">
        <f t="shared" si="3"/>
        <v>3.3181888915114279</v>
      </c>
      <c r="K36">
        <v>35.635416897948708</v>
      </c>
      <c r="L36">
        <f t="shared" si="4"/>
        <v>3.5733399999999982</v>
      </c>
      <c r="M36" s="3">
        <f t="shared" si="5"/>
        <v>0.25515110848857026</v>
      </c>
      <c r="N36" s="3">
        <f t="shared" si="6"/>
        <v>-0.25515110848857026</v>
      </c>
    </row>
    <row r="37" spans="1:14" x14ac:dyDescent="0.25">
      <c r="A37">
        <v>39</v>
      </c>
      <c r="B37" s="18">
        <f>'Intact cells'!$D36</f>
        <v>2.9926274586005124</v>
      </c>
      <c r="C37">
        <v>26.610875882841498</v>
      </c>
      <c r="D37">
        <f t="shared" si="0"/>
        <v>3.2813199999999973</v>
      </c>
      <c r="E37" s="3">
        <f t="shared" si="1"/>
        <v>0.28869254139948497</v>
      </c>
      <c r="F37" s="3">
        <f t="shared" si="2"/>
        <v>-0.28869254139948497</v>
      </c>
      <c r="H37">
        <v>39</v>
      </c>
      <c r="I37" s="7">
        <v>25.0991</v>
      </c>
      <c r="J37" s="3">
        <f t="shared" si="3"/>
        <v>3.2228319889211705</v>
      </c>
      <c r="K37">
        <v>35.635416897948708</v>
      </c>
      <c r="L37">
        <f t="shared" si="4"/>
        <v>3.5733399999999982</v>
      </c>
      <c r="M37" s="3">
        <f t="shared" si="5"/>
        <v>0.35050801107882767</v>
      </c>
      <c r="N37" s="3">
        <f t="shared" si="6"/>
        <v>-0.35050801107882767</v>
      </c>
    </row>
    <row r="38" spans="1:14" x14ac:dyDescent="0.25">
      <c r="A38">
        <v>39</v>
      </c>
      <c r="B38" s="18">
        <f>'Intact cells'!$D37</f>
        <v>2.7616983872210974</v>
      </c>
      <c r="C38">
        <v>26.610875882841498</v>
      </c>
      <c r="D38">
        <f t="shared" si="0"/>
        <v>3.2813199999999973</v>
      </c>
      <c r="E38" s="3">
        <f t="shared" si="1"/>
        <v>0.51962161277889996</v>
      </c>
      <c r="F38" s="3">
        <f t="shared" si="2"/>
        <v>-0.51962161277889996</v>
      </c>
      <c r="H38">
        <v>39</v>
      </c>
      <c r="I38" s="7">
        <v>14.499199999999998</v>
      </c>
      <c r="J38" s="3">
        <f t="shared" si="3"/>
        <v>2.674093475490682</v>
      </c>
      <c r="K38">
        <v>35.635416897948708</v>
      </c>
      <c r="L38">
        <f t="shared" si="4"/>
        <v>3.5733399999999982</v>
      </c>
      <c r="M38" s="3">
        <f t="shared" si="5"/>
        <v>0.89924652450931619</v>
      </c>
      <c r="N38" s="3">
        <f t="shared" si="6"/>
        <v>-0.89924652450931619</v>
      </c>
    </row>
    <row r="39" spans="1:14" ht="15.75" customHeight="1" x14ac:dyDescent="0.25">
      <c r="A39">
        <v>39</v>
      </c>
      <c r="B39" s="18">
        <f>'Intact cells'!$D38</f>
        <v>3.109355558319455</v>
      </c>
      <c r="C39">
        <v>26.610875882841498</v>
      </c>
      <c r="D39">
        <f t="shared" si="0"/>
        <v>3.2813199999999973</v>
      </c>
      <c r="E39" s="3">
        <f t="shared" si="1"/>
        <v>0.17196444168054237</v>
      </c>
      <c r="F39" s="3">
        <f t="shared" si="2"/>
        <v>-0.17196444168054237</v>
      </c>
      <c r="H39">
        <v>39</v>
      </c>
      <c r="I39" s="7">
        <v>25.295000000000002</v>
      </c>
      <c r="J39" s="3">
        <f t="shared" si="3"/>
        <v>3.2306067477438996</v>
      </c>
      <c r="K39">
        <v>35.635416897948708</v>
      </c>
      <c r="L39">
        <f t="shared" si="4"/>
        <v>3.5733399999999982</v>
      </c>
      <c r="M39" s="3">
        <f t="shared" si="5"/>
        <v>0.34273325225609863</v>
      </c>
      <c r="N39" s="3">
        <f t="shared" si="6"/>
        <v>-0.34273325225609863</v>
      </c>
    </row>
    <row r="40" spans="1:14" s="24" customFormat="1" x14ac:dyDescent="0.25">
      <c r="A40" s="24">
        <v>40</v>
      </c>
      <c r="B40" s="25">
        <f>'Intact cells'!$D39</f>
        <v>3.0995696297932445</v>
      </c>
      <c r="C40" s="24">
        <v>27.781463007600809</v>
      </c>
      <c r="D40" s="24">
        <f t="shared" si="0"/>
        <v>3.324368999999999</v>
      </c>
      <c r="E40" s="26">
        <f>D40-B40</f>
        <v>0.22479937020675456</v>
      </c>
      <c r="F40" s="26">
        <f t="shared" si="2"/>
        <v>-0.22479937020675456</v>
      </c>
      <c r="H40" s="24">
        <v>40</v>
      </c>
      <c r="I40" s="24">
        <v>34.741100000000003</v>
      </c>
      <c r="J40" s="26">
        <f t="shared" si="3"/>
        <v>3.5479234240998121</v>
      </c>
      <c r="K40" s="24">
        <v>36.249587430197984</v>
      </c>
      <c r="L40" s="24">
        <f t="shared" si="4"/>
        <v>3.5904279999999993</v>
      </c>
      <c r="M40" s="26">
        <f t="shared" si="5"/>
        <v>4.2504575900187191E-2</v>
      </c>
      <c r="N40" s="26">
        <f t="shared" si="6"/>
        <v>-4.2504575900187191E-2</v>
      </c>
    </row>
    <row r="41" spans="1:14" s="24" customFormat="1" x14ac:dyDescent="0.25">
      <c r="A41" s="24">
        <v>40</v>
      </c>
      <c r="B41" s="25">
        <f>'Intact cells'!$D40</f>
        <v>2.9142076350298134</v>
      </c>
      <c r="C41" s="24">
        <v>27.781463007600809</v>
      </c>
      <c r="D41" s="24">
        <f t="shared" si="0"/>
        <v>3.324368999999999</v>
      </c>
      <c r="E41" s="26">
        <f t="shared" si="1"/>
        <v>0.41016136497018563</v>
      </c>
      <c r="F41" s="26">
        <f t="shared" si="2"/>
        <v>-0.41016136497018563</v>
      </c>
      <c r="H41" s="24">
        <v>40</v>
      </c>
      <c r="I41" s="24">
        <v>37.830399999999997</v>
      </c>
      <c r="J41" s="26">
        <f t="shared" si="3"/>
        <v>3.6331130122078585</v>
      </c>
      <c r="K41" s="24">
        <v>36.249587430197984</v>
      </c>
      <c r="L41" s="24">
        <f t="shared" si="4"/>
        <v>3.5904279999999993</v>
      </c>
      <c r="M41" s="26">
        <f t="shared" si="5"/>
        <v>-4.2685012207859252E-2</v>
      </c>
      <c r="N41" s="26">
        <f t="shared" si="6"/>
        <v>4.2685012207859252E-2</v>
      </c>
    </row>
    <row r="42" spans="1:14" s="24" customFormat="1" x14ac:dyDescent="0.25">
      <c r="A42" s="24">
        <v>40</v>
      </c>
      <c r="B42" s="25">
        <f>'Intact cells'!$D41</f>
        <v>3.3463046345539857</v>
      </c>
      <c r="C42" s="24">
        <v>27.781463007600809</v>
      </c>
      <c r="D42" s="24">
        <f t="shared" si="0"/>
        <v>3.324368999999999</v>
      </c>
      <c r="E42" s="26">
        <f t="shared" si="1"/>
        <v>-2.1935634553986727E-2</v>
      </c>
      <c r="F42" s="26">
        <f t="shared" si="2"/>
        <v>2.1935634553986727E-2</v>
      </c>
      <c r="H42" s="24">
        <v>40</v>
      </c>
      <c r="I42" s="24">
        <v>26.091699999999999</v>
      </c>
      <c r="J42" s="26">
        <f t="shared" si="3"/>
        <v>3.2616172560906533</v>
      </c>
      <c r="K42" s="24">
        <v>36.249587430197984</v>
      </c>
      <c r="L42" s="24">
        <f t="shared" si="4"/>
        <v>3.5904279999999993</v>
      </c>
      <c r="M42" s="26">
        <f t="shared" si="5"/>
        <v>0.32881074390934595</v>
      </c>
      <c r="N42" s="26">
        <f t="shared" si="6"/>
        <v>-0.32881074390934595</v>
      </c>
    </row>
    <row r="43" spans="1:14" s="24" customFormat="1" x14ac:dyDescent="0.25">
      <c r="A43" s="24">
        <v>40</v>
      </c>
      <c r="B43" s="25">
        <f>'Intact cells'!$D42</f>
        <v>3.1359853996265104</v>
      </c>
      <c r="C43" s="24">
        <v>27.781463007600809</v>
      </c>
      <c r="D43" s="24">
        <f t="shared" si="0"/>
        <v>3.324368999999999</v>
      </c>
      <c r="E43" s="26">
        <f t="shared" si="1"/>
        <v>0.18838360037348867</v>
      </c>
      <c r="F43" s="26">
        <f t="shared" si="2"/>
        <v>-0.18838360037348867</v>
      </c>
      <c r="H43" s="24">
        <v>40</v>
      </c>
      <c r="I43" s="24">
        <v>28.141400000000001</v>
      </c>
      <c r="J43" s="26">
        <f t="shared" si="3"/>
        <v>3.3372418016924721</v>
      </c>
      <c r="K43" s="24">
        <v>36.249587430197984</v>
      </c>
      <c r="L43" s="24">
        <f t="shared" si="4"/>
        <v>3.5904279999999993</v>
      </c>
      <c r="M43" s="26">
        <f t="shared" si="5"/>
        <v>0.2531861983075272</v>
      </c>
      <c r="N43" s="26">
        <f t="shared" si="6"/>
        <v>-0.2531861983075272</v>
      </c>
    </row>
    <row r="44" spans="1:14" s="24" customFormat="1" x14ac:dyDescent="0.25">
      <c r="A44" s="24">
        <v>40</v>
      </c>
      <c r="B44" s="25">
        <f>'Intact cells'!$D43</f>
        <v>3.2102103881848554</v>
      </c>
      <c r="C44" s="24">
        <v>27.781463007600809</v>
      </c>
      <c r="D44" s="24">
        <f t="shared" si="0"/>
        <v>3.324368999999999</v>
      </c>
      <c r="E44" s="26">
        <f t="shared" si="1"/>
        <v>0.11415861181514364</v>
      </c>
      <c r="F44" s="26">
        <f t="shared" si="2"/>
        <v>-0.11415861181514364</v>
      </c>
      <c r="H44" s="24">
        <v>40</v>
      </c>
      <c r="I44" s="24">
        <v>40.4833</v>
      </c>
      <c r="J44" s="26">
        <f t="shared" si="3"/>
        <v>3.7008895433956241</v>
      </c>
      <c r="K44" s="24">
        <v>36.249587430197984</v>
      </c>
      <c r="L44" s="24">
        <f t="shared" si="4"/>
        <v>3.5904279999999993</v>
      </c>
      <c r="M44" s="26">
        <f t="shared" si="5"/>
        <v>-0.11046154339562486</v>
      </c>
      <c r="N44" s="26">
        <f t="shared" si="6"/>
        <v>0.11046154339562486</v>
      </c>
    </row>
    <row r="45" spans="1:14" x14ac:dyDescent="0.25">
      <c r="A45">
        <v>41</v>
      </c>
      <c r="B45" s="18">
        <f>'Intact cells'!$D44</f>
        <v>3.1633504298680575</v>
      </c>
      <c r="C45">
        <v>29.003543146820963</v>
      </c>
      <c r="D45">
        <f t="shared" si="0"/>
        <v>3.3674179999999989</v>
      </c>
      <c r="E45" s="3">
        <f t="shared" si="1"/>
        <v>0.20406757013194143</v>
      </c>
      <c r="F45" s="3">
        <f t="shared" si="2"/>
        <v>-0.20406757013194143</v>
      </c>
      <c r="H45">
        <v>41</v>
      </c>
      <c r="I45" s="7">
        <v>36.958999999999996</v>
      </c>
      <c r="J45" s="3">
        <f t="shared" si="3"/>
        <v>3.6098091901303992</v>
      </c>
      <c r="K45">
        <v>36.874343090264375</v>
      </c>
      <c r="L45">
        <f t="shared" si="4"/>
        <v>3.6075159999999986</v>
      </c>
      <c r="M45" s="3">
        <f t="shared" si="5"/>
        <v>-2.2931901304006352E-3</v>
      </c>
      <c r="N45" s="3">
        <f t="shared" si="6"/>
        <v>2.2931901304006352E-3</v>
      </c>
    </row>
    <row r="46" spans="1:14" x14ac:dyDescent="0.25">
      <c r="A46">
        <v>41</v>
      </c>
      <c r="B46" s="18">
        <f>'Intact cells'!$D45</f>
        <v>3.0778466799309139</v>
      </c>
      <c r="C46">
        <v>29.003543146820963</v>
      </c>
      <c r="D46">
        <f t="shared" si="0"/>
        <v>3.3674179999999989</v>
      </c>
      <c r="E46" s="3">
        <f t="shared" si="1"/>
        <v>0.28957132006908504</v>
      </c>
      <c r="F46" s="3">
        <f t="shared" si="2"/>
        <v>-0.28957132006908504</v>
      </c>
      <c r="H46">
        <v>41</v>
      </c>
      <c r="I46" s="7">
        <v>21.6767</v>
      </c>
      <c r="J46" s="3">
        <f t="shared" si="3"/>
        <v>3.0762379509635753</v>
      </c>
      <c r="K46">
        <v>36.874343090264375</v>
      </c>
      <c r="L46">
        <f t="shared" si="4"/>
        <v>3.6075159999999986</v>
      </c>
      <c r="M46" s="3">
        <f t="shared" si="5"/>
        <v>0.53127804903642328</v>
      </c>
      <c r="N46" s="3">
        <f t="shared" si="6"/>
        <v>-0.53127804903642328</v>
      </c>
    </row>
    <row r="47" spans="1:14" x14ac:dyDescent="0.25">
      <c r="A47">
        <v>41</v>
      </c>
      <c r="B47" s="18">
        <f>'Intact cells'!$D46</f>
        <v>3.3688119215180001</v>
      </c>
      <c r="C47">
        <v>29.003543146820963</v>
      </c>
      <c r="D47">
        <f t="shared" si="0"/>
        <v>3.3674179999999989</v>
      </c>
      <c r="E47" s="3">
        <f t="shared" si="1"/>
        <v>-1.3939215180012177E-3</v>
      </c>
      <c r="F47" s="3">
        <f t="shared" si="2"/>
        <v>1.3939215180012177E-3</v>
      </c>
      <c r="H47">
        <v>41</v>
      </c>
      <c r="I47" s="7">
        <v>37.201300000000003</v>
      </c>
      <c r="J47" s="3">
        <f t="shared" si="3"/>
        <v>3.6163437069050546</v>
      </c>
      <c r="K47">
        <v>36.874343090264375</v>
      </c>
      <c r="L47">
        <f t="shared" si="4"/>
        <v>3.6075159999999986</v>
      </c>
      <c r="M47" s="3">
        <f t="shared" si="5"/>
        <v>-8.8277069050559653E-3</v>
      </c>
      <c r="N47" s="3">
        <f t="shared" si="6"/>
        <v>8.8277069050559653E-3</v>
      </c>
    </row>
    <row r="48" spans="1:14" x14ac:dyDescent="0.25">
      <c r="A48">
        <v>41</v>
      </c>
      <c r="B48" s="18">
        <f>'Intact cells'!$D47</f>
        <v>3.4235816409970656</v>
      </c>
      <c r="C48">
        <v>29.003543146820963</v>
      </c>
      <c r="D48">
        <f t="shared" si="0"/>
        <v>3.3674179999999989</v>
      </c>
      <c r="E48" s="3">
        <f t="shared" si="1"/>
        <v>-5.6163640997066722E-2</v>
      </c>
      <c r="F48" s="3">
        <f t="shared" si="2"/>
        <v>5.6163640997066722E-2</v>
      </c>
      <c r="H48">
        <v>41</v>
      </c>
      <c r="I48" s="7">
        <v>38.267499999999998</v>
      </c>
      <c r="J48" s="3">
        <f t="shared" si="3"/>
        <v>3.6446009719837251</v>
      </c>
      <c r="K48">
        <v>36.874343090264375</v>
      </c>
      <c r="L48">
        <f t="shared" si="4"/>
        <v>3.6075159999999986</v>
      </c>
      <c r="M48" s="3">
        <f t="shared" si="5"/>
        <v>-3.7084971983726511E-2</v>
      </c>
      <c r="N48" s="3">
        <f t="shared" si="6"/>
        <v>3.7084971983726511E-2</v>
      </c>
    </row>
    <row r="49" spans="1:14" x14ac:dyDescent="0.25">
      <c r="A49">
        <v>41</v>
      </c>
      <c r="B49" s="18">
        <f>'Intact cells'!$D48</f>
        <v>3.3360044242056208</v>
      </c>
      <c r="C49">
        <v>29.003543146820963</v>
      </c>
      <c r="D49">
        <f t="shared" si="0"/>
        <v>3.3674179999999989</v>
      </c>
      <c r="E49" s="3">
        <f t="shared" si="1"/>
        <v>3.141357579437809E-2</v>
      </c>
      <c r="F49" s="3">
        <f t="shared" si="2"/>
        <v>-3.141357579437809E-2</v>
      </c>
      <c r="H49">
        <v>41</v>
      </c>
      <c r="I49" s="7">
        <v>35.227599999999995</v>
      </c>
      <c r="J49" s="3">
        <f t="shared" si="3"/>
        <v>3.561829866274457</v>
      </c>
      <c r="K49">
        <v>36.874343090264375</v>
      </c>
      <c r="L49">
        <f t="shared" si="4"/>
        <v>3.6075159999999986</v>
      </c>
      <c r="M49" s="3">
        <f t="shared" si="5"/>
        <v>4.5686133725541644E-2</v>
      </c>
      <c r="N49" s="3">
        <f t="shared" si="6"/>
        <v>-4.5686133725541644E-2</v>
      </c>
    </row>
    <row r="50" spans="1:14" s="24" customFormat="1" x14ac:dyDescent="0.25">
      <c r="A50" s="24">
        <v>42</v>
      </c>
      <c r="B50" s="25">
        <f>'Intact cells'!$D49</f>
        <v>3.2109726771050551</v>
      </c>
      <c r="C50" s="24">
        <v>30.279381429241411</v>
      </c>
      <c r="D50" s="24">
        <f t="shared" si="0"/>
        <v>3.4104669999999988</v>
      </c>
      <c r="E50" s="26">
        <f t="shared" si="1"/>
        <v>0.19949432289494373</v>
      </c>
      <c r="F50" s="26">
        <f t="shared" si="2"/>
        <v>-0.19949432289494373</v>
      </c>
      <c r="H50" s="24">
        <v>42</v>
      </c>
      <c r="I50" s="24">
        <v>43.906100000000002</v>
      </c>
      <c r="J50" s="26">
        <f t="shared" si="3"/>
        <v>3.7820532625921772</v>
      </c>
      <c r="K50" s="24">
        <v>37.509866311079911</v>
      </c>
      <c r="L50" s="24">
        <f t="shared" si="4"/>
        <v>3.6246039999999988</v>
      </c>
      <c r="M50" s="26">
        <f t="shared" si="5"/>
        <v>-0.1574492625921784</v>
      </c>
      <c r="N50" s="26">
        <f t="shared" si="6"/>
        <v>0.1574492625921784</v>
      </c>
    </row>
    <row r="51" spans="1:14" s="24" customFormat="1" x14ac:dyDescent="0.25">
      <c r="A51" s="24">
        <v>42</v>
      </c>
      <c r="B51" s="25">
        <f>'Intact cells'!$D50</f>
        <v>3.1839572044292499</v>
      </c>
      <c r="C51" s="24">
        <v>30.279381429241411</v>
      </c>
      <c r="D51" s="24">
        <f t="shared" si="0"/>
        <v>3.4104669999999988</v>
      </c>
      <c r="E51" s="26">
        <f t="shared" si="1"/>
        <v>0.22650979557074891</v>
      </c>
      <c r="F51" s="26">
        <f t="shared" si="2"/>
        <v>-0.22650979557074891</v>
      </c>
      <c r="H51" s="24">
        <v>42</v>
      </c>
      <c r="I51" s="24">
        <v>42.011300000000006</v>
      </c>
      <c r="J51" s="26">
        <f t="shared" si="3"/>
        <v>3.7379386297155959</v>
      </c>
      <c r="K51" s="24">
        <v>37.509866311079911</v>
      </c>
      <c r="L51" s="24">
        <f t="shared" si="4"/>
        <v>3.6246039999999988</v>
      </c>
      <c r="M51" s="26">
        <f t="shared" si="5"/>
        <v>-0.11333462971559705</v>
      </c>
      <c r="N51" s="26">
        <f t="shared" si="6"/>
        <v>0.11333462971559705</v>
      </c>
    </row>
    <row r="52" spans="1:14" s="24" customFormat="1" x14ac:dyDescent="0.25">
      <c r="A52" s="24">
        <v>42</v>
      </c>
      <c r="B52" s="25">
        <f>'Intact cells'!$D51</f>
        <v>3.0378670060565813</v>
      </c>
      <c r="C52" s="24">
        <v>30.279381429241411</v>
      </c>
      <c r="D52" s="24">
        <f t="shared" si="0"/>
        <v>3.4104669999999988</v>
      </c>
      <c r="E52" s="26">
        <f t="shared" si="1"/>
        <v>0.37259999394341747</v>
      </c>
      <c r="F52" s="26">
        <f t="shared" si="2"/>
        <v>-0.37259999394341747</v>
      </c>
      <c r="H52" s="24">
        <v>42</v>
      </c>
      <c r="I52" s="24">
        <v>15.621499999999999</v>
      </c>
      <c r="J52" s="26">
        <f t="shared" si="3"/>
        <v>2.7486481705307182</v>
      </c>
      <c r="K52" s="24">
        <v>37.509866311079911</v>
      </c>
      <c r="L52" s="24">
        <f t="shared" si="4"/>
        <v>3.6246039999999988</v>
      </c>
      <c r="M52" s="26">
        <f t="shared" si="5"/>
        <v>0.87595582946928063</v>
      </c>
      <c r="N52" s="26">
        <f t="shared" si="6"/>
        <v>-0.87595582946928063</v>
      </c>
    </row>
    <row r="53" spans="1:14" s="24" customFormat="1" x14ac:dyDescent="0.25">
      <c r="A53" s="24">
        <v>42</v>
      </c>
      <c r="B53" s="25">
        <f>'Intact cells'!$D52</f>
        <v>3.6047394054582695</v>
      </c>
      <c r="C53" s="24">
        <v>30.279381429241411</v>
      </c>
      <c r="D53" s="24">
        <f t="shared" si="0"/>
        <v>3.4104669999999988</v>
      </c>
      <c r="E53" s="26">
        <f t="shared" si="1"/>
        <v>-0.19427240545827074</v>
      </c>
      <c r="F53" s="26">
        <f t="shared" si="2"/>
        <v>0.19427240545827074</v>
      </c>
      <c r="H53" s="24">
        <v>42</v>
      </c>
      <c r="I53" s="24">
        <v>46.167200000000001</v>
      </c>
      <c r="J53" s="26">
        <f t="shared" si="3"/>
        <v>3.8322695892391261</v>
      </c>
      <c r="K53" s="24">
        <v>37.509866311079911</v>
      </c>
      <c r="L53" s="24">
        <f t="shared" si="4"/>
        <v>3.6246039999999988</v>
      </c>
      <c r="M53" s="26">
        <f t="shared" si="5"/>
        <v>-0.20766558923912726</v>
      </c>
      <c r="N53" s="26">
        <f t="shared" si="6"/>
        <v>0.20766558923912726</v>
      </c>
    </row>
    <row r="54" spans="1:14" s="24" customFormat="1" x14ac:dyDescent="0.25">
      <c r="A54" s="24">
        <v>42</v>
      </c>
      <c r="B54" s="25">
        <f>'Intact cells'!$D53</f>
        <v>3.4583178318185297</v>
      </c>
      <c r="C54" s="24">
        <v>30.279381429241411</v>
      </c>
      <c r="D54" s="24">
        <f t="shared" si="0"/>
        <v>3.4104669999999988</v>
      </c>
      <c r="E54" s="26">
        <f t="shared" si="1"/>
        <v>-4.7850831818530892E-2</v>
      </c>
      <c r="F54" s="26">
        <f t="shared" si="2"/>
        <v>4.7850831818530892E-2</v>
      </c>
      <c r="H54" s="24">
        <v>42</v>
      </c>
      <c r="I54" s="24">
        <v>42.802600000000005</v>
      </c>
      <c r="J54" s="26">
        <f t="shared" si="3"/>
        <v>3.756598848406238</v>
      </c>
      <c r="K54" s="24">
        <v>37.509866311079911</v>
      </c>
      <c r="L54" s="24">
        <f t="shared" si="4"/>
        <v>3.6246039999999988</v>
      </c>
      <c r="M54" s="26">
        <f t="shared" si="5"/>
        <v>-0.13199484840623921</v>
      </c>
      <c r="N54" s="26">
        <f t="shared" si="6"/>
        <v>0.13199484840623921</v>
      </c>
    </row>
    <row r="55" spans="1:14" x14ac:dyDescent="0.25">
      <c r="A55">
        <v>43</v>
      </c>
      <c r="B55" s="18">
        <f>'Intact cells'!$D54</f>
        <v>3.1413855236986867</v>
      </c>
      <c r="C55">
        <v>31.611342624460811</v>
      </c>
      <c r="D55">
        <f t="shared" si="0"/>
        <v>3.4535159999999987</v>
      </c>
      <c r="E55" s="3">
        <f t="shared" si="1"/>
        <v>0.31213047630131197</v>
      </c>
      <c r="F55" s="3">
        <f t="shared" si="2"/>
        <v>-0.31213047630131197</v>
      </c>
      <c r="H55">
        <v>43</v>
      </c>
      <c r="I55" s="7">
        <v>39.117800000000003</v>
      </c>
      <c r="J55" s="3">
        <f t="shared" si="3"/>
        <v>3.666577606366431</v>
      </c>
      <c r="K55">
        <v>38.156342669777985</v>
      </c>
      <c r="L55">
        <f t="shared" si="4"/>
        <v>3.641691999999999</v>
      </c>
      <c r="M55" s="3">
        <f t="shared" si="5"/>
        <v>-2.4885606366432E-2</v>
      </c>
      <c r="N55" s="3">
        <f t="shared" si="6"/>
        <v>2.4885606366432E-2</v>
      </c>
    </row>
    <row r="56" spans="1:14" x14ac:dyDescent="0.25">
      <c r="A56">
        <v>43</v>
      </c>
      <c r="B56" s="18">
        <f>'Intact cells'!$D55</f>
        <v>3.2686369460776747</v>
      </c>
      <c r="C56">
        <v>31.611342624460811</v>
      </c>
      <c r="D56">
        <f t="shared" si="0"/>
        <v>3.4535159999999987</v>
      </c>
      <c r="E56" s="3">
        <f t="shared" si="1"/>
        <v>0.18487905392232395</v>
      </c>
      <c r="F56" s="3">
        <f t="shared" si="2"/>
        <v>-0.18487905392232395</v>
      </c>
      <c r="H56">
        <v>43</v>
      </c>
      <c r="I56" s="7">
        <v>49.558599999999998</v>
      </c>
      <c r="J56" s="3">
        <f t="shared" si="3"/>
        <v>3.9031558077743722</v>
      </c>
      <c r="K56">
        <v>38.156342669777985</v>
      </c>
      <c r="L56">
        <f t="shared" si="4"/>
        <v>3.641691999999999</v>
      </c>
      <c r="M56" s="3">
        <f t="shared" si="5"/>
        <v>-0.26146380777437317</v>
      </c>
      <c r="N56" s="3">
        <f t="shared" si="6"/>
        <v>0.26146380777437317</v>
      </c>
    </row>
    <row r="57" spans="1:14" x14ac:dyDescent="0.25">
      <c r="A57">
        <v>43</v>
      </c>
      <c r="B57" s="18">
        <f>'Intact cells'!$D56</f>
        <v>3.2757664250715006</v>
      </c>
      <c r="C57">
        <v>31.611342624460811</v>
      </c>
      <c r="D57">
        <f t="shared" si="0"/>
        <v>3.4535159999999987</v>
      </c>
      <c r="E57" s="3">
        <f t="shared" si="1"/>
        <v>0.17774957492849808</v>
      </c>
      <c r="F57" s="3">
        <f t="shared" si="2"/>
        <v>-0.17774957492849808</v>
      </c>
      <c r="H57">
        <v>43</v>
      </c>
      <c r="I57" s="7">
        <v>38.144199999999998</v>
      </c>
      <c r="J57" s="3">
        <f t="shared" si="3"/>
        <v>3.6413737147177292</v>
      </c>
      <c r="K57">
        <v>38.156342669777985</v>
      </c>
      <c r="L57">
        <f t="shared" si="4"/>
        <v>3.641691999999999</v>
      </c>
      <c r="M57" s="3">
        <f t="shared" si="5"/>
        <v>3.1828528226984787E-4</v>
      </c>
      <c r="N57" s="3">
        <f t="shared" si="6"/>
        <v>-3.1828528226984787E-4</v>
      </c>
    </row>
    <row r="58" spans="1:14" x14ac:dyDescent="0.25">
      <c r="A58">
        <v>43</v>
      </c>
      <c r="B58" s="18">
        <f>'Intact cells'!$D57</f>
        <v>3.067945952667011</v>
      </c>
      <c r="C58">
        <v>31.611342624460811</v>
      </c>
      <c r="D58">
        <f t="shared" si="0"/>
        <v>3.4535159999999987</v>
      </c>
      <c r="E58" s="3">
        <f t="shared" si="1"/>
        <v>0.38557004733298772</v>
      </c>
      <c r="F58" s="3">
        <f t="shared" si="2"/>
        <v>-0.38557004733298772</v>
      </c>
      <c r="H58">
        <v>43</v>
      </c>
      <c r="I58" s="7">
        <v>39.750699999999995</v>
      </c>
      <c r="J58" s="3">
        <f t="shared" si="3"/>
        <v>3.6826274510081785</v>
      </c>
      <c r="K58">
        <v>38.156342669777985</v>
      </c>
      <c r="L58">
        <f t="shared" si="4"/>
        <v>3.641691999999999</v>
      </c>
      <c r="M58" s="3">
        <f t="shared" si="5"/>
        <v>-4.0935451008179413E-2</v>
      </c>
      <c r="N58" s="3">
        <f t="shared" si="6"/>
        <v>4.0935451008179413E-2</v>
      </c>
    </row>
    <row r="59" spans="1:14" x14ac:dyDescent="0.25">
      <c r="A59">
        <v>43</v>
      </c>
      <c r="B59" s="18">
        <f>'Intact cells'!$D58</f>
        <v>3.4311541629519589</v>
      </c>
      <c r="C59">
        <v>31.611342624460811</v>
      </c>
      <c r="D59">
        <f t="shared" si="0"/>
        <v>3.4535159999999987</v>
      </c>
      <c r="E59" s="3">
        <f t="shared" si="1"/>
        <v>2.2361837048039845E-2</v>
      </c>
      <c r="F59" s="3">
        <f t="shared" si="2"/>
        <v>-2.2361837048039845E-2</v>
      </c>
      <c r="H59">
        <v>43</v>
      </c>
      <c r="I59" s="7">
        <v>25.247899999999998</v>
      </c>
      <c r="J59" s="3">
        <f t="shared" si="3"/>
        <v>3.2287429839458608</v>
      </c>
      <c r="K59">
        <v>38.156342669777985</v>
      </c>
      <c r="L59">
        <f t="shared" si="4"/>
        <v>3.641691999999999</v>
      </c>
      <c r="M59" s="3">
        <f t="shared" si="5"/>
        <v>0.41294901605413825</v>
      </c>
      <c r="N59" s="3">
        <f t="shared" si="6"/>
        <v>-0.41294901605413825</v>
      </c>
    </row>
    <row r="60" spans="1:14" s="24" customFormat="1" x14ac:dyDescent="0.25">
      <c r="A60" s="24">
        <v>44</v>
      </c>
      <c r="B60" s="25">
        <f>'Intact cells'!$D59</f>
        <v>3.1636590542302705</v>
      </c>
      <c r="C60" s="24">
        <v>33.001895526043704</v>
      </c>
      <c r="D60" s="24">
        <f t="shared" si="0"/>
        <v>3.4965649999999986</v>
      </c>
      <c r="E60" s="26">
        <f t="shared" si="1"/>
        <v>0.3329059457697281</v>
      </c>
      <c r="F60" s="26">
        <f t="shared" si="2"/>
        <v>-0.3329059457697281</v>
      </c>
      <c r="H60" s="24">
        <v>44</v>
      </c>
      <c r="I60" s="24">
        <v>14.023099999999999</v>
      </c>
      <c r="J60" s="26">
        <f t="shared" si="3"/>
        <v>2.6407059698607829</v>
      </c>
      <c r="K60" s="24">
        <v>38.813960941883316</v>
      </c>
      <c r="L60" s="24">
        <f t="shared" si="4"/>
        <v>3.6587799999999993</v>
      </c>
      <c r="M60" s="26">
        <f t="shared" si="5"/>
        <v>1.0180740301392164</v>
      </c>
      <c r="N60" s="26">
        <f t="shared" si="6"/>
        <v>-1.0180740301392164</v>
      </c>
    </row>
    <row r="61" spans="1:14" s="24" customFormat="1" x14ac:dyDescent="0.25">
      <c r="A61" s="24">
        <v>44</v>
      </c>
      <c r="B61" s="25">
        <f>'Intact cells'!$D60</f>
        <v>2.6340447877917144</v>
      </c>
      <c r="C61" s="24">
        <v>33.001895526043704</v>
      </c>
      <c r="D61" s="24">
        <f t="shared" si="0"/>
        <v>3.4965649999999986</v>
      </c>
      <c r="E61" s="26">
        <f t="shared" si="1"/>
        <v>0.86252021220828423</v>
      </c>
      <c r="F61" s="26">
        <f t="shared" si="2"/>
        <v>-0.86252021220828423</v>
      </c>
      <c r="H61" s="24">
        <v>44</v>
      </c>
      <c r="I61" s="24">
        <v>16.456899999999997</v>
      </c>
      <c r="J61" s="26">
        <f t="shared" si="3"/>
        <v>2.800744842153148</v>
      </c>
      <c r="K61" s="24">
        <v>38.813960941883316</v>
      </c>
      <c r="L61" s="24">
        <f t="shared" si="4"/>
        <v>3.6587799999999993</v>
      </c>
      <c r="M61" s="26">
        <f t="shared" si="5"/>
        <v>0.85803515784685125</v>
      </c>
      <c r="N61" s="26">
        <f t="shared" si="6"/>
        <v>-0.85803515784685125</v>
      </c>
    </row>
    <row r="62" spans="1:14" s="24" customFormat="1" x14ac:dyDescent="0.25">
      <c r="A62" s="24">
        <v>44</v>
      </c>
      <c r="B62" s="25">
        <f>'Intact cells'!$D61</f>
        <v>3.1839903410141135</v>
      </c>
      <c r="C62" s="24">
        <v>33.001895526043704</v>
      </c>
      <c r="D62" s="24">
        <f t="shared" si="0"/>
        <v>3.4965649999999986</v>
      </c>
      <c r="E62" s="26">
        <f t="shared" si="1"/>
        <v>0.3125746589858851</v>
      </c>
      <c r="F62" s="26">
        <f t="shared" si="2"/>
        <v>-0.3125746589858851</v>
      </c>
      <c r="H62" s="24">
        <v>44</v>
      </c>
      <c r="I62" s="24">
        <v>31.532999999999998</v>
      </c>
      <c r="J62" s="26">
        <f t="shared" si="3"/>
        <v>3.4510346165093271</v>
      </c>
      <c r="K62" s="24">
        <v>38.813960941883316</v>
      </c>
      <c r="L62" s="24">
        <f t="shared" si="4"/>
        <v>3.6587799999999993</v>
      </c>
      <c r="M62" s="26">
        <f t="shared" si="5"/>
        <v>0.20774538349067218</v>
      </c>
      <c r="N62" s="26">
        <f t="shared" si="6"/>
        <v>-0.20774538349067218</v>
      </c>
    </row>
    <row r="63" spans="1:14" s="24" customFormat="1" x14ac:dyDescent="0.25">
      <c r="A63" s="24">
        <v>44</v>
      </c>
      <c r="B63" s="25">
        <f>'Intact cells'!$D62</f>
        <v>3.5939889362392243</v>
      </c>
      <c r="C63" s="24">
        <v>33.001895526043704</v>
      </c>
      <c r="D63" s="24">
        <f t="shared" si="0"/>
        <v>3.4965649999999986</v>
      </c>
      <c r="E63" s="26">
        <f t="shared" si="1"/>
        <v>-9.7423936239225739E-2</v>
      </c>
      <c r="F63" s="26">
        <f t="shared" si="2"/>
        <v>9.7423936239225739E-2</v>
      </c>
      <c r="H63" s="24">
        <v>44</v>
      </c>
      <c r="I63" s="24">
        <v>59.705199999999998</v>
      </c>
      <c r="J63" s="26">
        <f t="shared" si="3"/>
        <v>4.0894191187829367</v>
      </c>
      <c r="K63" s="24">
        <v>38.813960941883316</v>
      </c>
      <c r="L63" s="24">
        <f t="shared" si="4"/>
        <v>3.6587799999999993</v>
      </c>
      <c r="M63" s="26">
        <f t="shared" si="5"/>
        <v>-0.43063911878293748</v>
      </c>
      <c r="N63" s="26">
        <f t="shared" si="6"/>
        <v>0.43063911878293748</v>
      </c>
    </row>
    <row r="64" spans="1:14" s="24" customFormat="1" x14ac:dyDescent="0.25">
      <c r="A64" s="24">
        <v>44</v>
      </c>
      <c r="B64" s="25">
        <f>'Intact cells'!$D63</f>
        <v>3.1249123378659309</v>
      </c>
      <c r="C64" s="24">
        <v>33.001895526043704</v>
      </c>
      <c r="D64" s="24">
        <f t="shared" si="0"/>
        <v>3.4965649999999986</v>
      </c>
      <c r="E64" s="26">
        <f t="shared" si="1"/>
        <v>0.37165266213406767</v>
      </c>
      <c r="F64" s="26">
        <f t="shared" si="2"/>
        <v>-0.37165266213406767</v>
      </c>
      <c r="H64" s="24">
        <v>44</v>
      </c>
      <c r="I64" s="24">
        <v>41.936999999999998</v>
      </c>
      <c r="J64" s="26">
        <f t="shared" si="3"/>
        <v>3.736168492157101</v>
      </c>
      <c r="K64" s="24">
        <v>38.813960941883316</v>
      </c>
      <c r="L64" s="24">
        <f t="shared" si="4"/>
        <v>3.6587799999999993</v>
      </c>
      <c r="M64" s="26">
        <f t="shared" si="5"/>
        <v>-7.7388492157101751E-2</v>
      </c>
      <c r="N64" s="26">
        <f t="shared" si="6"/>
        <v>7.7388492157101751E-2</v>
      </c>
    </row>
    <row r="65" spans="1:14" x14ac:dyDescent="0.25">
      <c r="A65">
        <v>45</v>
      </c>
      <c r="B65" s="18">
        <f>'Intact cells'!$D64</f>
        <v>3.1473368576858851</v>
      </c>
      <c r="C65">
        <v>34.45361752743586</v>
      </c>
      <c r="D65">
        <f t="shared" si="0"/>
        <v>3.5396139999999985</v>
      </c>
      <c r="E65" s="3">
        <f t="shared" si="1"/>
        <v>0.39227714231411337</v>
      </c>
      <c r="F65" s="3">
        <f t="shared" si="2"/>
        <v>-0.39227714231411337</v>
      </c>
      <c r="H65">
        <v>45</v>
      </c>
      <c r="I65" s="24">
        <v>44.778400000000005</v>
      </c>
      <c r="J65" s="3">
        <f t="shared" si="3"/>
        <v>3.8017258802955558</v>
      </c>
      <c r="K65">
        <v>39.482913156435593</v>
      </c>
      <c r="L65">
        <f t="shared" si="4"/>
        <v>3.6758679999999986</v>
      </c>
      <c r="M65" s="3">
        <f t="shared" si="5"/>
        <v>-0.12585788029555722</v>
      </c>
      <c r="N65" s="3">
        <f t="shared" si="6"/>
        <v>0.12585788029555722</v>
      </c>
    </row>
    <row r="66" spans="1:14" x14ac:dyDescent="0.25">
      <c r="A66">
        <v>45</v>
      </c>
      <c r="B66" s="18">
        <f>'Intact cells'!$D65</f>
        <v>2.9611460047544136</v>
      </c>
      <c r="C66">
        <v>34.45361752743586</v>
      </c>
      <c r="D66">
        <f t="shared" si="0"/>
        <v>3.5396139999999985</v>
      </c>
      <c r="E66" s="3">
        <f t="shared" si="1"/>
        <v>0.5784679952455849</v>
      </c>
      <c r="F66" s="3">
        <f t="shared" si="2"/>
        <v>-0.5784679952455849</v>
      </c>
      <c r="H66">
        <v>45</v>
      </c>
      <c r="I66" s="24">
        <v>41.878900000000002</v>
      </c>
      <c r="J66" s="3">
        <f t="shared" si="3"/>
        <v>3.7347821201368565</v>
      </c>
      <c r="K66">
        <v>39.482913156435593</v>
      </c>
      <c r="L66">
        <f t="shared" si="4"/>
        <v>3.6758679999999986</v>
      </c>
      <c r="M66" s="3">
        <f t="shared" si="5"/>
        <v>-5.8914120136857928E-2</v>
      </c>
      <c r="N66" s="3">
        <f t="shared" si="6"/>
        <v>5.8914120136857928E-2</v>
      </c>
    </row>
    <row r="67" spans="1:14" x14ac:dyDescent="0.25">
      <c r="A67">
        <v>45</v>
      </c>
      <c r="B67" s="18">
        <f>'Intact cells'!$D66</f>
        <v>2.9017951506754232</v>
      </c>
      <c r="C67">
        <v>34.45361752743586</v>
      </c>
      <c r="D67">
        <f t="shared" si="0"/>
        <v>3.5396139999999985</v>
      </c>
      <c r="E67" s="3">
        <f t="shared" si="1"/>
        <v>0.63781884932457533</v>
      </c>
      <c r="F67" s="3">
        <f t="shared" si="2"/>
        <v>-0.63781884932457533</v>
      </c>
      <c r="H67">
        <v>45</v>
      </c>
      <c r="I67" s="24">
        <v>37.86</v>
      </c>
      <c r="J67" s="3">
        <f t="shared" si="3"/>
        <v>3.6338951457811768</v>
      </c>
      <c r="K67">
        <v>39.482913156435593</v>
      </c>
      <c r="L67">
        <f t="shared" si="4"/>
        <v>3.6758679999999986</v>
      </c>
      <c r="M67" s="3">
        <f t="shared" si="5"/>
        <v>4.1972854218821798E-2</v>
      </c>
      <c r="N67" s="3">
        <f t="shared" si="6"/>
        <v>-4.1972854218821798E-2</v>
      </c>
    </row>
    <row r="68" spans="1:14" x14ac:dyDescent="0.25">
      <c r="A68">
        <v>45</v>
      </c>
      <c r="B68" s="18">
        <f>'Intact cells'!$D67</f>
        <v>2.8153428489898271</v>
      </c>
      <c r="C68">
        <v>34.45361752743586</v>
      </c>
      <c r="D68">
        <f t="shared" si="0"/>
        <v>3.5396139999999985</v>
      </c>
      <c r="E68" s="3">
        <f t="shared" si="1"/>
        <v>0.72427115101017137</v>
      </c>
      <c r="F68" s="3">
        <f t="shared" si="2"/>
        <v>-0.72427115101017137</v>
      </c>
      <c r="H68">
        <v>45</v>
      </c>
      <c r="I68" s="24">
        <v>28.543800000000001</v>
      </c>
      <c r="J68" s="3">
        <f t="shared" si="3"/>
        <v>3.3514397496465942</v>
      </c>
      <c r="K68">
        <v>39.482913156435593</v>
      </c>
      <c r="L68">
        <f t="shared" si="4"/>
        <v>3.6758679999999986</v>
      </c>
      <c r="M68" s="3">
        <f t="shared" si="5"/>
        <v>0.32442825035340439</v>
      </c>
      <c r="N68" s="3">
        <f t="shared" si="6"/>
        <v>-0.32442825035340439</v>
      </c>
    </row>
    <row r="69" spans="1:14" x14ac:dyDescent="0.25">
      <c r="A69">
        <v>45</v>
      </c>
      <c r="B69" s="18">
        <f>'Intact cells'!$D68</f>
        <v>3.5875081930108861</v>
      </c>
      <c r="C69">
        <v>34.45361752743586</v>
      </c>
      <c r="D69">
        <f t="shared" si="0"/>
        <v>3.5396139999999985</v>
      </c>
      <c r="E69" s="3">
        <f t="shared" si="1"/>
        <v>-4.7894193010887598E-2</v>
      </c>
      <c r="F69" s="3">
        <f t="shared" si="2"/>
        <v>4.7894193010887598E-2</v>
      </c>
      <c r="H69">
        <v>45</v>
      </c>
      <c r="I69" s="24">
        <v>47.782800000000002</v>
      </c>
      <c r="J69" s="3">
        <f t="shared" si="3"/>
        <v>3.8666657421061297</v>
      </c>
      <c r="K69">
        <v>39.482913156435593</v>
      </c>
      <c r="L69">
        <f t="shared" si="4"/>
        <v>3.6758679999999986</v>
      </c>
      <c r="M69" s="3">
        <f t="shared" si="5"/>
        <v>-0.1907977421061311</v>
      </c>
      <c r="N69" s="3">
        <f t="shared" si="6"/>
        <v>0.1907977421061311</v>
      </c>
    </row>
    <row r="70" spans="1:14" s="24" customFormat="1" x14ac:dyDescent="0.25">
      <c r="A70" s="24">
        <v>46</v>
      </c>
      <c r="B70" s="25">
        <f>'Intact cells'!$D69</f>
        <v>1.8734469773215976</v>
      </c>
      <c r="C70" s="24">
        <v>35.969199399169796</v>
      </c>
      <c r="D70" s="24">
        <f t="shared" ref="D70:D79" si="7">LN(C70)</f>
        <v>3.5826629999999984</v>
      </c>
      <c r="E70" s="26">
        <f t="shared" ref="E70:E79" si="8">D70-B70</f>
        <v>1.7092160226784008</v>
      </c>
      <c r="F70" s="26">
        <f t="shared" ref="F70:F79" si="9">B70-D70</f>
        <v>-1.7092160226784008</v>
      </c>
      <c r="H70" s="24">
        <v>46</v>
      </c>
      <c r="I70" s="24">
        <v>23.642499999999998</v>
      </c>
      <c r="J70" s="26">
        <f t="shared" ref="J70:J79" si="10">LN(I70)</f>
        <v>3.1630459399075299</v>
      </c>
      <c r="K70" s="24">
        <v>40.163394652063459</v>
      </c>
      <c r="L70" s="24">
        <f t="shared" ref="L70:L79" si="11">LN(K70)</f>
        <v>3.6929559999999988</v>
      </c>
      <c r="M70" s="26">
        <f t="shared" ref="M70:M79" si="12">L70-J70</f>
        <v>0.52991006009246888</v>
      </c>
      <c r="N70" s="26">
        <f t="shared" ref="N70:N79" si="13">J70-L70</f>
        <v>-0.52991006009246888</v>
      </c>
    </row>
    <row r="71" spans="1:14" s="24" customFormat="1" x14ac:dyDescent="0.25">
      <c r="A71" s="24">
        <v>46</v>
      </c>
      <c r="B71" s="25">
        <f>'Intact cells'!$D70</f>
        <v>2.2750700009534031</v>
      </c>
      <c r="C71" s="24">
        <v>35.969199399169796</v>
      </c>
      <c r="D71" s="24">
        <f t="shared" si="7"/>
        <v>3.5826629999999984</v>
      </c>
      <c r="E71" s="26">
        <f t="shared" si="8"/>
        <v>1.3075929990465953</v>
      </c>
      <c r="F71" s="26">
        <f t="shared" si="9"/>
        <v>-1.3075929990465953</v>
      </c>
      <c r="H71" s="24">
        <v>46</v>
      </c>
      <c r="I71" s="24">
        <v>24.5869</v>
      </c>
      <c r="J71" s="26">
        <f t="shared" si="10"/>
        <v>3.2022137807738082</v>
      </c>
      <c r="K71" s="24">
        <v>40.163394652063459</v>
      </c>
      <c r="L71" s="24">
        <f t="shared" si="11"/>
        <v>3.6929559999999988</v>
      </c>
      <c r="M71" s="26">
        <f t="shared" si="12"/>
        <v>0.49074221922619055</v>
      </c>
      <c r="N71" s="26">
        <f t="shared" si="13"/>
        <v>-0.49074221922619055</v>
      </c>
    </row>
    <row r="72" spans="1:14" s="24" customFormat="1" x14ac:dyDescent="0.25">
      <c r="A72" s="24">
        <v>46</v>
      </c>
      <c r="B72" s="25">
        <f>'Intact cells'!$D71</f>
        <v>2.4063052640219387</v>
      </c>
      <c r="C72" s="24">
        <v>35.969199399169796</v>
      </c>
      <c r="D72" s="24">
        <f t="shared" si="7"/>
        <v>3.5826629999999984</v>
      </c>
      <c r="E72" s="26">
        <f t="shared" si="8"/>
        <v>1.1763577359780597</v>
      </c>
      <c r="F72" s="26">
        <f t="shared" si="9"/>
        <v>-1.1763577359780597</v>
      </c>
      <c r="H72" s="24">
        <v>46</v>
      </c>
      <c r="I72" s="24">
        <v>26.577000000000002</v>
      </c>
      <c r="J72" s="26">
        <f t="shared" si="10"/>
        <v>3.280046180098005</v>
      </c>
      <c r="K72" s="24">
        <v>40.163394652063459</v>
      </c>
      <c r="L72" s="24">
        <f t="shared" si="11"/>
        <v>3.6929559999999988</v>
      </c>
      <c r="M72" s="26">
        <f t="shared" si="12"/>
        <v>0.41290981990199382</v>
      </c>
      <c r="N72" s="26">
        <f t="shared" si="13"/>
        <v>-0.41290981990199382</v>
      </c>
    </row>
    <row r="73" spans="1:14" s="24" customFormat="1" x14ac:dyDescent="0.25">
      <c r="A73" s="24">
        <v>46</v>
      </c>
      <c r="B73" s="25">
        <f>'Intact cells'!$D72</f>
        <v>2.3045531550887439</v>
      </c>
      <c r="C73" s="24">
        <v>35.969199399169796</v>
      </c>
      <c r="D73" s="24">
        <f t="shared" si="7"/>
        <v>3.5826629999999984</v>
      </c>
      <c r="E73" s="26">
        <f t="shared" si="8"/>
        <v>1.2781098449112545</v>
      </c>
      <c r="F73" s="26">
        <f t="shared" si="9"/>
        <v>-1.2781098449112545</v>
      </c>
      <c r="H73" s="24">
        <v>46</v>
      </c>
      <c r="I73" s="24">
        <v>36.635899999999999</v>
      </c>
      <c r="J73" s="26">
        <f t="shared" si="10"/>
        <v>3.6010286339813873</v>
      </c>
      <c r="K73" s="24">
        <v>40.163394652063459</v>
      </c>
      <c r="L73" s="24">
        <f t="shared" si="11"/>
        <v>3.6929559999999988</v>
      </c>
      <c r="M73" s="26">
        <f t="shared" si="12"/>
        <v>9.1927366018611512E-2</v>
      </c>
      <c r="N73" s="26">
        <f t="shared" si="13"/>
        <v>-9.1927366018611512E-2</v>
      </c>
    </row>
    <row r="74" spans="1:14" s="24" customFormat="1" x14ac:dyDescent="0.25">
      <c r="A74" s="24">
        <v>46</v>
      </c>
      <c r="B74" s="25">
        <f>'Intact cells'!$D73</f>
        <v>2.4688450162406501</v>
      </c>
      <c r="C74" s="24">
        <v>35.969199399169796</v>
      </c>
      <c r="D74" s="24">
        <f t="shared" si="7"/>
        <v>3.5826629999999984</v>
      </c>
      <c r="E74" s="26">
        <f t="shared" si="8"/>
        <v>1.1138179837593483</v>
      </c>
      <c r="F74" s="26">
        <f t="shared" si="9"/>
        <v>-1.1138179837593483</v>
      </c>
      <c r="H74" s="24">
        <v>46</v>
      </c>
      <c r="I74" s="24">
        <v>38.813099999999999</v>
      </c>
      <c r="J74" s="26">
        <f t="shared" si="10"/>
        <v>3.6587578185114076</v>
      </c>
      <c r="K74" s="24">
        <v>40.163394652063459</v>
      </c>
      <c r="L74" s="24">
        <f t="shared" si="11"/>
        <v>3.6929559999999988</v>
      </c>
      <c r="M74" s="26">
        <f t="shared" si="12"/>
        <v>3.4198181488591217E-2</v>
      </c>
      <c r="N74" s="26">
        <f t="shared" si="13"/>
        <v>-3.4198181488591217E-2</v>
      </c>
    </row>
    <row r="75" spans="1:14" x14ac:dyDescent="0.25">
      <c r="A75">
        <v>47</v>
      </c>
      <c r="B75" s="18">
        <f>'Intact cells'!$D74</f>
        <v>1.7142842959486435</v>
      </c>
      <c r="C75">
        <v>37.551450276214986</v>
      </c>
      <c r="D75">
        <f t="shared" si="7"/>
        <v>3.6257119999999983</v>
      </c>
      <c r="E75" s="3">
        <f t="shared" si="8"/>
        <v>1.9114277040513548</v>
      </c>
      <c r="F75" s="3">
        <f t="shared" si="9"/>
        <v>-1.9114277040513548</v>
      </c>
      <c r="H75">
        <v>47</v>
      </c>
      <c r="I75" s="7">
        <v>20.8628</v>
      </c>
      <c r="J75" s="3">
        <f t="shared" si="10"/>
        <v>3.0379676687527488</v>
      </c>
      <c r="K75">
        <v>40.855604134024482</v>
      </c>
      <c r="L75">
        <f t="shared" si="11"/>
        <v>3.710043999999999</v>
      </c>
      <c r="M75" s="3">
        <f t="shared" si="12"/>
        <v>0.67207633124725019</v>
      </c>
      <c r="N75" s="3">
        <f t="shared" si="13"/>
        <v>-0.67207633124725019</v>
      </c>
    </row>
    <row r="76" spans="1:14" x14ac:dyDescent="0.25">
      <c r="A76">
        <v>47</v>
      </c>
      <c r="B76" s="18">
        <f>'Intact cells'!$D75</f>
        <v>0.8489108445428426</v>
      </c>
      <c r="C76">
        <v>37.551450276214986</v>
      </c>
      <c r="D76">
        <f t="shared" si="7"/>
        <v>3.6257119999999983</v>
      </c>
      <c r="E76" s="3">
        <f t="shared" si="8"/>
        <v>2.7768011554571554</v>
      </c>
      <c r="F76" s="3">
        <f t="shared" si="9"/>
        <v>-2.7768011554571554</v>
      </c>
      <c r="H76">
        <v>47</v>
      </c>
      <c r="I76" s="7">
        <v>15.456800000000001</v>
      </c>
      <c r="J76" s="3">
        <f t="shared" si="10"/>
        <v>2.7380490359650369</v>
      </c>
      <c r="K76">
        <v>40.855604134024482</v>
      </c>
      <c r="L76">
        <f t="shared" si="11"/>
        <v>3.710043999999999</v>
      </c>
      <c r="M76" s="3">
        <f t="shared" si="12"/>
        <v>0.97199496403496211</v>
      </c>
      <c r="N76" s="3">
        <f t="shared" si="13"/>
        <v>-0.97199496403496211</v>
      </c>
    </row>
    <row r="77" spans="1:14" x14ac:dyDescent="0.25">
      <c r="A77">
        <v>47</v>
      </c>
      <c r="B77" s="18">
        <f>'Intact cells'!$D76</f>
        <v>1.1735651419045106</v>
      </c>
      <c r="C77">
        <v>37.551450276214986</v>
      </c>
      <c r="D77">
        <f t="shared" si="7"/>
        <v>3.6257119999999983</v>
      </c>
      <c r="E77" s="3">
        <f t="shared" si="8"/>
        <v>2.4521468580954879</v>
      </c>
      <c r="F77" s="3">
        <f t="shared" si="9"/>
        <v>-2.4521468580954879</v>
      </c>
      <c r="H77">
        <v>47</v>
      </c>
      <c r="I77" s="7">
        <v>10.139800000000001</v>
      </c>
      <c r="J77" s="3">
        <f t="shared" si="10"/>
        <v>2.3164682741026414</v>
      </c>
      <c r="K77">
        <v>40.855604134024482</v>
      </c>
      <c r="L77">
        <f t="shared" si="11"/>
        <v>3.710043999999999</v>
      </c>
      <c r="M77" s="3">
        <f t="shared" si="12"/>
        <v>1.3935757258973576</v>
      </c>
      <c r="N77" s="3">
        <f t="shared" si="13"/>
        <v>-1.3935757258973576</v>
      </c>
    </row>
    <row r="78" spans="1:14" x14ac:dyDescent="0.25">
      <c r="A78">
        <v>47</v>
      </c>
      <c r="B78" s="18">
        <f>'Intact cells'!$D77</f>
        <v>2.0626132366983412</v>
      </c>
      <c r="C78">
        <v>37.551450276214986</v>
      </c>
      <c r="D78">
        <f t="shared" si="7"/>
        <v>3.6257119999999983</v>
      </c>
      <c r="E78" s="3">
        <f t="shared" si="8"/>
        <v>1.5630987633016571</v>
      </c>
      <c r="F78" s="3">
        <f t="shared" si="9"/>
        <v>-1.5630987633016571</v>
      </c>
      <c r="H78">
        <v>47</v>
      </c>
      <c r="I78" s="7">
        <v>7.5989999999999993</v>
      </c>
      <c r="J78" s="3">
        <f t="shared" si="10"/>
        <v>2.0280166596876477</v>
      </c>
      <c r="K78">
        <v>40.855604134024482</v>
      </c>
      <c r="L78">
        <f t="shared" si="11"/>
        <v>3.710043999999999</v>
      </c>
      <c r="M78" s="3">
        <f t="shared" si="12"/>
        <v>1.6820273403123513</v>
      </c>
      <c r="N78" s="3">
        <f t="shared" si="13"/>
        <v>-1.6820273403123513</v>
      </c>
    </row>
    <row r="79" spans="1:14" x14ac:dyDescent="0.25">
      <c r="A79">
        <v>47</v>
      </c>
      <c r="B79" s="18">
        <f>'Intact cells'!$D78</f>
        <v>1.5819022622395795</v>
      </c>
      <c r="C79">
        <v>37.551450276214986</v>
      </c>
      <c r="D79">
        <f t="shared" si="7"/>
        <v>3.6257119999999983</v>
      </c>
      <c r="E79" s="3">
        <f t="shared" si="8"/>
        <v>2.0438097377604185</v>
      </c>
      <c r="F79" s="3">
        <f t="shared" si="9"/>
        <v>-2.0438097377604185</v>
      </c>
      <c r="H79">
        <v>47</v>
      </c>
      <c r="I79" s="7">
        <v>10.872299999999999</v>
      </c>
      <c r="J79" s="3">
        <f t="shared" si="10"/>
        <v>2.3862182702871246</v>
      </c>
      <c r="K79">
        <v>40.855604134024482</v>
      </c>
      <c r="L79">
        <f t="shared" si="11"/>
        <v>3.710043999999999</v>
      </c>
      <c r="M79" s="3">
        <f t="shared" si="12"/>
        <v>1.3238257297128744</v>
      </c>
      <c r="N79" s="3">
        <f t="shared" si="13"/>
        <v>-1.3238257297128744</v>
      </c>
    </row>
    <row r="80" spans="1:14" x14ac:dyDescent="0.25">
      <c r="B80" s="18"/>
    </row>
    <row r="82" spans="2:2" x14ac:dyDescent="0.25">
      <c r="B82" s="7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Intact cells</vt:lpstr>
      <vt:lpstr>Permeabilized cells</vt:lpstr>
      <vt:lpstr>Calculation of residues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Musiol, Eva</dc:creator>
  <cp:lastModifiedBy>Anna Jarzab</cp:lastModifiedBy>
  <dcterms:created xsi:type="dcterms:W3CDTF">2018-06-14T11:25:34Z</dcterms:created>
  <dcterms:modified xsi:type="dcterms:W3CDTF">2020-01-30T12:56:46Z</dcterms:modified>
</cp:coreProperties>
</file>